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ng quan phan he" sheetId="1" r:id="rId5"/>
    <sheet state="visible" name="Use case chi tiet" sheetId="2" r:id="rId6"/>
    <sheet state="visible" name="Phan cong dong gop" sheetId="3" r:id="rId7"/>
    <sheet state="visible" name="Chu giai" sheetId="4" r:id="rId8"/>
    <sheet state="visible" name="Nội dung cuộc họp" sheetId="5" r:id="rId9"/>
  </sheets>
  <definedNames>
    <definedName hidden="1" localSheetId="1" name="_xlnm._FilterDatabase">'Use case chi tiet'!$A$4:$M$80</definedName>
  </definedNames>
  <calcPr/>
</workbook>
</file>

<file path=xl/sharedStrings.xml><?xml version="1.0" encoding="utf-8"?>
<sst xmlns="http://schemas.openxmlformats.org/spreadsheetml/2006/main" count="842" uniqueCount="376">
  <si>
    <t>PHÂN CÔNG &amp; ĐÓNG GÓP — NHÓM 4 NGƯỜI</t>
  </si>
  <si>
    <t>MASTERPLAN GASTRO AI — USE CASE CHI TIẾT THEO PHÂN HỆ</t>
  </si>
  <si>
    <t>MASTERPLAN GASTRO AI — TỔNG QUAN PHÂN HỆ</t>
  </si>
  <si>
    <t>Điền tên/mã thành viên vào cột 'Người phụ trách' ở sheet 'Use case chi tiet' (dropdown TV1-TV4, có thể đổi tên tại Data &gt; Data Validation). Bảng dưới tự cập nhật theo công thức.</t>
  </si>
  <si>
    <t>Phân rã theo phân hệ (lõi + bổ trợ), dùng cùng với sheet 'Use case chi tiet' và 'Chu giai'</t>
  </si>
  <si>
    <t>Đánh giá độ khó (1-5) và độ ưu tiên (MoSCoW) cho từng hạng mục — xem thang đo ở sheet 'Chu giai'</t>
  </si>
  <si>
    <t>CHÚ GIẢI THANG ĐO</t>
  </si>
  <si>
    <t>Thành viên</t>
  </si>
  <si>
    <t>Độ khó (1-5)</t>
  </si>
  <si>
    <t>STT</t>
  </si>
  <si>
    <t>Phân hệ</t>
  </si>
  <si>
    <t>Số use case phụ trách</t>
  </si>
  <si>
    <t>Tổng điểm độ khó</t>
  </si>
  <si>
    <t>Ghi chú</t>
  </si>
  <si>
    <t>Loại</t>
  </si>
  <si>
    <t>Đức</t>
  </si>
  <si>
    <t>Số use case</t>
  </si>
  <si>
    <t>Mức</t>
  </si>
  <si>
    <t>Mã UC</t>
  </si>
  <si>
    <t>Ưu tiên tổng thể</t>
  </si>
  <si>
    <t>Giai đoạn chính (theo mục 9 đề cương)</t>
  </si>
  <si>
    <t>Tên gọi</t>
  </si>
  <si>
    <t>Mô tả</t>
  </si>
  <si>
    <t>Xác thực &amp; Tài khoản</t>
  </si>
  <si>
    <t>1</t>
  </si>
  <si>
    <t>Loại phân hệ</t>
  </si>
  <si>
    <t>Actor</t>
  </si>
  <si>
    <t>Chức năng / Use case</t>
  </si>
  <si>
    <t>Rất dễ</t>
  </si>
  <si>
    <t>Mô tả ngắn</t>
  </si>
  <si>
    <t>Bổ trợ (nền tảng)</t>
  </si>
  <si>
    <t>CRUD đơn giản, không có logic đặc biệt (~0.5 ngày)</t>
  </si>
  <si>
    <t>Loại hạng mục</t>
  </si>
  <si>
    <t>2</t>
  </si>
  <si>
    <t>Dễ</t>
  </si>
  <si>
    <t>Độ ưu tiên</t>
  </si>
  <si>
    <t>CRUD có logic nhẹ, validate cơ bản (~1 ngày)</t>
  </si>
  <si>
    <t>Giai đoạn tham chiếu</t>
  </si>
  <si>
    <t>3</t>
  </si>
  <si>
    <t>Bắt buộc</t>
  </si>
  <si>
    <t>Trung bình</t>
  </si>
  <si>
    <t>Giai đoạn 1</t>
  </si>
  <si>
    <t>Cần tích hợp nhiều phần trong hệ thống (~2-3 ngày)</t>
  </si>
  <si>
    <t>Người phụ trách</t>
  </si>
  <si>
    <t>Không có trong mục 5 của đề cương nhưng bắt buộc phải làm trước để mọi phân hệ khác hoạt động.</t>
  </si>
  <si>
    <t>4</t>
  </si>
  <si>
    <t>Người dùng (Bệnh nhân)</t>
  </si>
  <si>
    <t>Khó</t>
  </si>
  <si>
    <t>Thuật toán phức tạp hoặc tích hợp dịch vụ ngoài (~4-7 ngày)</t>
  </si>
  <si>
    <t>Lõi</t>
  </si>
  <si>
    <t>UC0001</t>
  </si>
  <si>
    <t>5</t>
  </si>
  <si>
    <t>Rất khó</t>
  </si>
  <si>
    <t>Rủi ro kỹ thuật cao, cần nghiên cứu thêm (&gt;1 tuần)</t>
  </si>
  <si>
    <t>Giai đoạn 2, 4</t>
  </si>
  <si>
    <t>Độ ưu tiên (MoSCoW)</t>
  </si>
  <si>
    <t>Đúng mục 5.1 đề cương. Có bổ sung 9 use case bổ trợ (đánh dấu [Mới]), gồm phân tích tương quan triệu chứng-thực phẩm, gamification, thư viện kiến thức.</t>
  </si>
  <si>
    <t>AI Chatbot &amp; RAG (+ Triage)</t>
  </si>
  <si>
    <t>Bắt buộc (Must)</t>
  </si>
  <si>
    <t>Thuộc phần lõi (RAG + Triage + Chat) hoặc nền tảng bắt buộc để phân hệ khác chạy được. Thiếu thì không đạt mục tiêu đồ án.</t>
  </si>
  <si>
    <t>Giai đoạn 2, 3, 8</t>
  </si>
  <si>
    <t>Nên có (Should)</t>
  </si>
  <si>
    <t>Đúng mục 5.2 đề cương — phần lõi quan trọng nhất, ưu tiên hoàn thiện trước. Có bổ sung 6 use case bổ trợ (symptom checker có cấu trúc, severity scoring, feedback AI...).</t>
  </si>
  <si>
    <t>Quan trọng cho trải nghiệm và điểm số, nhưng hệ thống vẫn chạy được nếu tạm thời thiếu.</t>
  </si>
  <si>
    <t>Quản trị (Admin/CMS)</t>
  </si>
  <si>
    <t>Có thể (Could)</t>
  </si>
  <si>
    <t>Tính năng bổ sung, làm nếu còn thời gian.</t>
  </si>
  <si>
    <t>Bắt buộc / Nên có (xem chi tiết)</t>
  </si>
  <si>
    <t>Giai đoạn 1, 5, 6</t>
  </si>
  <si>
    <t>Đúng mục 5.3 đề cương — RBAC &amp; tải tài liệu là bắt buộc, dashboard/audit log là nên có. Có bổ sung 13 use case bổ trợ (đánh dấu [Mới]).</t>
  </si>
  <si>
    <t>Cắt nếu cần (Won't - lần này)</t>
  </si>
  <si>
    <t>Thông báo (Notification)</t>
  </si>
  <si>
    <t>Bổ trợ</t>
  </si>
  <si>
    <t>Hỗn hợp (xem chi tiết)</t>
  </si>
  <si>
    <t>Giai đoạn 3, 4, 7</t>
  </si>
  <si>
    <t>Đúng mục 5.4 đề cương, đã rút gọn thành phân hệ bổ trợ. Chỉ cảnh báo Triage realtime là bắt buộc.</t>
  </si>
  <si>
    <t>Tinh giản/bỏ đầu tiên nếu deadline gấp — đúng phương án rủi ro đã thống nhất trong đề cương (mục 10: 'phân hệ phụ trợ có thể tinh giản nếu thời gian không cho phép').</t>
  </si>
  <si>
    <t>Bệnh nhân / Admin</t>
  </si>
  <si>
    <t>Đăng ký tài khoản</t>
  </si>
  <si>
    <t>Cách dùng file này</t>
  </si>
  <si>
    <t>Đăng ký bằng email + mật khẩu, gửi email xác thực</t>
  </si>
  <si>
    <t>Tổng số use case / hạng mục:</t>
  </si>
  <si>
    <t>• Sheet 'Tong quan phan he': nhìn nhanh 5 phân hệ (đúng mục 5 đề cương, tách riêng thêm phân hệ Xác thực &amp; Tài khoản vì mọi phân hệ khác đều phụ thuộc vào nó).</t>
  </si>
  <si>
    <t>Nam</t>
  </si>
  <si>
    <t>Tính năng người dùng</t>
  </si>
  <si>
    <t>• Sheet 'Use case chi tiet': danh sách use case/tác vụ kỹ thuật, có thể lọc theo Phân hệ, Độ ưu tiên, Giai đoạn bằng auto-filter ở hàng tiêu đề.</t>
  </si>
  <si>
    <t>• Các cột 'Loại phân hệ', 'Loại hạng mục', 'Độ khó', 'Độ ưu tiên' có sẵn dropdown — có thể chỉnh lại khi làm thực tế phát sinh thay đổi.</t>
  </si>
  <si>
    <t>• Cột 'Giai đoạn tham chiếu' khớp với bảng kế hoạch thực hiện ở mục 9 của đề cương — dùng để kiểm tra khối lượng công việc từng giai đoạn có hợp lý không.</t>
  </si>
  <si>
    <t>• Cột 'Người phụ trách' (dropdown TV1-TV4) dùng để phân việc cho nhóm 4 người — điền vào đây rồi xem tổng hợp số lượng/độ khó mỗi người ở sheet 'Phan cong dong gop'.</t>
  </si>
  <si>
    <t>Nền tảng bắt buộc trước khi làm các phân hệ khác</t>
  </si>
  <si>
    <t>Hải</t>
  </si>
  <si>
    <t>UC0002</t>
  </si>
  <si>
    <t>Đăng nhập</t>
  </si>
  <si>
    <t>JWT cho bệnh nhân, session riêng cho admin (theo kiến trúc đa cơ sở dữ liệu)</t>
  </si>
  <si>
    <t>Thăng</t>
  </si>
  <si>
    <t>UC0003</t>
  </si>
  <si>
    <t>Đăng xuất</t>
  </si>
  <si>
    <t>Hủy token / session hiện tại</t>
  </si>
  <si>
    <t>UC0004</t>
  </si>
  <si>
    <t>Quên mật khẩu / đặt lại mật khẩu</t>
  </si>
  <si>
    <t>Gửi link hoặc mã xác nhận qua email để đặt lại mật khẩu</t>
  </si>
  <si>
    <t>Nên có</t>
  </si>
  <si>
    <t>Giai đoạn 1 / 7</t>
  </si>
  <si>
    <t>Phụ thuộc phần email của phân hệ Thông báo.
GĐ1 làm logic backend — sinh token, lưu DB, API đổi mật khẩu (test bằng cách xem token thẳng trong DB). 
GĐ7 mới nối email thật để gửi link/mã reset cho người dùng.</t>
  </si>
  <si>
    <t>UC0005</t>
  </si>
  <si>
    <t>Đổi mật khẩu</t>
  </si>
  <si>
    <t>Đổi mật khẩu khi đã đăng nhập</t>
  </si>
  <si>
    <t>Tổng cộng</t>
  </si>
  <si>
    <t>UC0006</t>
  </si>
  <si>
    <t>Hệ thống</t>
  </si>
  <si>
    <t>Phân quyền RBAC cơ bản</t>
  </si>
  <si>
    <t>Middleware kiểm tra quyền theo route, tối thiểu 3 vai trò</t>
  </si>
  <si>
    <t>Tác vụ kỹ thuật</t>
  </si>
  <si>
    <t>Giai đoạn 1 / 5</t>
  </si>
  <si>
    <t>Dùng chung cho phân hệ Quản trị
GĐ1 làm middleware kiểm tra quyền theo route + cấu trúc role trong DB (roles đã seed sẵn 3 vai trò trong migration). 
GĐ5 mới làm màn hình admin để gán role cho từng user.</t>
  </si>
  <si>
    <t>Chưa phân công</t>
  </si>
  <si>
    <t>UC0007</t>
  </si>
  <si>
    <t>Xem lịch sử đăng nhập tài khoản</t>
  </si>
  <si>
    <t>Tự kiểm tra các lần đăng nhập gần đây (thời gian, thiết bị/IP) để phát hiện truy cập trái phép</t>
  </si>
  <si>
    <t>Có thể</t>
  </si>
  <si>
    <t>[Mới] Tính năng bảo mật tự phục vụ, giá trị cao cho hệ thống xử lý dữ liệu y tế</t>
  </si>
  <si>
    <t>UC0008</t>
  </si>
  <si>
    <t>Giới hạn số lần đăng nhập sai</t>
  </si>
  <si>
    <t>Khóa tài khoản tạm thời sau N lần nhập sai mật khẩu liên tiếp, chống brute-force</t>
  </si>
  <si>
    <t>[Mới] Bảo mật cơ bản cho hệ thống dữ liệu y tế</t>
  </si>
  <si>
    <t>UC0009</t>
  </si>
  <si>
    <t>Bệnh nhân</t>
  </si>
  <si>
    <t>Khai báo hồ sơ bệnh lý cá nhân</t>
  </si>
  <si>
    <t>Tiền sử bệnh, dị ứng, thuốc đang dùng</t>
  </si>
  <si>
    <t>Giai đoạn 4</t>
  </si>
  <si>
    <t>UC0010</t>
  </si>
  <si>
    <t>Cập nhật hồ sơ bệnh lý</t>
  </si>
  <si>
    <t>Chỉnh sửa thông tin hồ sơ đã khai báo</t>
  </si>
  <si>
    <t>UC0011</t>
  </si>
  <si>
    <t>Ghi nhận nhật ký ăn uống</t>
  </si>
  <si>
    <t>CRUD nhật ký ăn uống hằng ngày</t>
  </si>
  <si>
    <t>UC0012</t>
  </si>
  <si>
    <t>Xem lịch sử / biểu đồ ăn uống</t>
  </si>
  <si>
    <t>Xem lại nhật ký theo mốc thời gian</t>
  </si>
  <si>
    <t>UC0013</t>
  </si>
  <si>
    <t>Ghi nhận tình trạng tiêu hóa (thang Bristol)</t>
  </si>
  <si>
    <t>Chọn phân loại theo 7 mức của Bristol Stool Chart</t>
  </si>
  <si>
    <t>UC0014</t>
  </si>
  <si>
    <t>Xem xu hướng Bristol theo thời gian</t>
  </si>
  <si>
    <t>Biểu đồ/thống kê tình trạng tiêu hóa</t>
  </si>
  <si>
    <t>UC0015</t>
  </si>
  <si>
    <t>Thiết lập lịch nhắc uống thuốc</t>
  </si>
  <si>
    <t>Tên thuốc, liều lượng, khung giờ lặp lại</t>
  </si>
  <si>
    <t>UC0016</t>
  </si>
  <si>
    <t>Xác nhận đã uống thuốc</t>
  </si>
  <si>
    <t>Xác nhận khi nhận được nhắc nhở</t>
  </si>
  <si>
    <t>Giai đoạn 4 / 7</t>
  </si>
  <si>
    <t>Phụ thuộc phân hệ Thông báo
GĐ4 làm bảng ghi nhận + nút "đã uống" (test thủ công). 
GĐ7 mới nối với nhắc nhở thật để có cái mà xác nhận.</t>
  </si>
  <si>
    <t>UC0017</t>
  </si>
  <si>
    <t>Chat với AI</t>
  </si>
  <si>
    <t>Giao diện gửi câu hỏi, nhận phản hồi</t>
  </si>
  <si>
    <t>Giai đoạn 2</t>
  </si>
  <si>
    <t>UC0018</t>
  </si>
  <si>
    <t>Xem lại lịch sử phiên chat</t>
  </si>
  <si>
    <t>Danh sách và nội dung các phiên chat trước đó</t>
  </si>
  <si>
    <t>Giai đoạn 2 / 4</t>
  </si>
  <si>
    <t xml:space="preserve">GĐ2 lưu phiên chat/tin nhắn khi làm pipeline chat streaming (schema + API lưu). 
GĐ4 mới làm UI màn hình lịch sử chat cho bệnh nhân xem lại.
</t>
  </si>
  <si>
    <t>UC0019</t>
  </si>
  <si>
    <t>Xuất nhật ký sức khỏe ra PDF</t>
  </si>
  <si>
    <t>Xuất hồ sơ bệnh lý + nhật ký ăn uống/Bristol trong một khoảng thời gian để mang đi khám bác sĩ</t>
  </si>
  <si>
    <t>[Mới] Giá trị thực tế cao cho người dùng dù không phải phần lõi kỹ thuật</t>
  </si>
  <si>
    <t>UC0020</t>
  </si>
  <si>
    <t>Khôi phục nhật ký đã xóa nhầm</t>
  </si>
  <si>
    <t>Soft-delete nhật ký ăn uống/Bristol, cho phép khôi phục trong khoảng thời gian giới hạn (vd 30 ngày)</t>
  </si>
  <si>
    <t>[Mới]</t>
  </si>
  <si>
    <t>UC0021</t>
  </si>
  <si>
    <t>Xem FAQ</t>
  </si>
  <si>
    <t>Xem danh sách câu hỏi thường gặp về bệnh lý tiêu hóa trước khi cần hỏi AI</t>
  </si>
  <si>
    <t>Giai đoạn 5</t>
  </si>
  <si>
    <t>UC0022</t>
  </si>
  <si>
    <t>Phân tích tương quan triệu chứng - thực phẩm</t>
  </si>
  <si>
    <t>Đối chiếu nhật ký ăn uống và nhật ký Bristol theo mốc thời gian để gợi ý món ăn có khả năng liên quan tới triệu chứng</t>
  </si>
  <si>
    <t>[Mới] Tham khảo app FODMAP Snap/SiboSafe — làm bằng rule/thống kê đơn giản, không cần ML nặng</t>
  </si>
  <si>
    <t>UC0023</t>
  </si>
  <si>
    <t>Xây dựng hồ sơ nhạy cảm thực phẩm cá nhân</t>
  </si>
  <si>
    <t>Tổng hợp kết quả tương quan thành hồ sơ: nhóm thực phẩm nào có xu hướng gây triệu chứng cho từng người dùng</t>
  </si>
  <si>
    <t>[Mới] Phụ thuộc use case phân tích tương quan</t>
  </si>
  <si>
    <t>UC0024</t>
  </si>
  <si>
    <t>Nhắc ghi nhật ký hằng ngày nếu quên</t>
  </si>
  <si>
    <t>Nhắc nhở qua Notification nếu người dùng chưa ghi nhật ký ăn uống/Bristol trong ngày</t>
  </si>
  <si>
    <t>[Mới] Phụ thuộc phân hệ Thông báo
GĐ4 làm logic kiểm tra "hôm nay đã ghi chưa". 
GĐ7 mới gửi nhắc nhở thật qua kênh thông báo.</t>
  </si>
  <si>
    <t>UC0025</t>
  </si>
  <si>
    <t>Xem chuỗi ngày ghi nhật ký liên tục &amp; tỷ lệ tuân thủ</t>
  </si>
  <si>
    <t>Hiển thị streak ghi nhật ký và % ngày có ghi nhận trong tháng, khuyến khích duy trì thói quen</t>
  </si>
  <si>
    <t>[Mới] Tăng chất lượng dữ liệu đầu vào cho phân tích/Triage</t>
  </si>
  <si>
    <t>UC0026</t>
  </si>
  <si>
    <t>Xem thư viện bài viết kiến thức tiêu hóa</t>
  </si>
  <si>
    <t>Duyệt/tìm bài viết theo chủ đề trước khi cần hỏi AI</t>
  </si>
  <si>
    <t>UC0027</t>
  </si>
  <si>
    <t>Xuất cuộc trò chuyện AI ra PDF</t>
  </si>
  <si>
    <t>Xuất 1 phiên chat cụ thể ra PDF để lưu/chia sẻ, mở rộng từ tính năng xuất nhật ký sức khỏe đã có</t>
  </si>
  <si>
    <t xml:space="preserve">Thực hiện chia việc cho 4 người làm các UC trong giai đoạn 1, bao gồm: </t>
  </si>
  <si>
    <t>UC0028</t>
  </si>
  <si>
    <t>AI Chatbot &amp; RAG</t>
  </si>
  <si>
    <t>Truy xuất ngữ cảnh liên quan</t>
  </si>
  <si>
    <t>Similarity search trên pgvector</t>
  </si>
  <si>
    <t>UC0045</t>
  </si>
  <si>
    <t>UC0029</t>
  </si>
  <si>
    <t>UC0057</t>
  </si>
  <si>
    <t>Sinh câu trả lời có trích dẫn nguồn</t>
  </si>
  <si>
    <t>UC0058</t>
  </si>
  <si>
    <t>Gọi LLM API kết hợp ngữ cảnh truy xuất (RAG generation)</t>
  </si>
  <si>
    <t>UC0030</t>
  </si>
  <si>
    <t>Streaming phản hồi thời gian thực</t>
  </si>
  <si>
    <t>SSE cho luồng trả lời chat</t>
  </si>
  <si>
    <t>UC0031</t>
  </si>
  <si>
    <t>Số hóa tài liệu y khoa</t>
  </si>
  <si>
    <t>Trích xuất văn bản từ PDF/docx</t>
  </si>
  <si>
    <t>UC0032</t>
  </si>
  <si>
    <t>Chunking văn bản tài liệu</t>
  </si>
  <si>
    <t>Chia đoạn văn bản trước khi sinh embedding</t>
  </si>
  <si>
    <t>UC0033</t>
  </si>
  <si>
    <t>Sinh &amp; lưu trữ vector embedding</t>
  </si>
  <si>
    <t>Lưu embedding kèm metadata (nguồn, trang, thời điểm)</t>
  </si>
  <si>
    <t>UC0034</t>
  </si>
  <si>
    <t>Sàng lọc an toàn tầng 1 (Triage)</t>
  </si>
  <si>
    <t>Đối sánh từ khóa dấu hiệu cấp cứu, ưu tiên recall cao</t>
  </si>
  <si>
    <t>Giai đoạn 3</t>
  </si>
  <si>
    <t>UC0035</t>
  </si>
  <si>
    <t>Hiển thị cảnh báo khẩn cấp</t>
  </si>
  <si>
    <t>Cảnh báo tức thời khuyến nghị đến cơ sở y tế</t>
  </si>
  <si>
    <t>UC0036</t>
  </si>
  <si>
    <t>Gửi cảnh báo Triage tới admin</t>
  </si>
  <si>
    <t>Đẩy sự kiện sang phân hệ Thông báo (WebSocket)</t>
  </si>
  <si>
    <t>Phụ thuộc phân hệ Thông báo</t>
  </si>
  <si>
    <t>UC0037</t>
  </si>
  <si>
    <t>Đánh giá độ chính xác truy xuất RAG</t>
  </si>
  <si>
    <t>Đo tỷ lệ tài liệu liên quan trong top-k</t>
  </si>
  <si>
    <t>Giai đoạn 8</t>
  </si>
  <si>
    <t>UC0038</t>
  </si>
  <si>
    <t>Đánh giá độ nhạy Triage</t>
  </si>
  <si>
    <t>Đo recall và tỷ lệ báo động giả trên tập câu kiểm thử</t>
  </si>
  <si>
    <t>Bám sát mục tiêu cụ thể của đề cương (mục 2.2)</t>
  </si>
  <si>
    <t>UC0039</t>
  </si>
  <si>
    <t>Bộ câu hỏi sàng lọc triệu chứng có cấu trúc</t>
  </si>
  <si>
    <t>Luồng hỏi-đáp dạng form theo bước để thu thập triệu chứng có hệ thống, bổ sung cho chat tự do</t>
  </si>
  <si>
    <t>[Mới] Tham khảo mô hình symptom-checker chatbot phổ biến trong ngành y tế (Conferbot, HappyFox...)</t>
  </si>
  <si>
    <t>UC0040</t>
  </si>
  <si>
    <t>Đánh giá mức độ nghiêm trọng triệu chứng</t>
  </si>
  <si>
    <t>Mở rộng Triage tầng 1 từ nhị phân (có/không cảnh báo) sang thang mức độ (nhẹ/trung bình/nặng)</t>
  </si>
  <si>
    <t>UC0041</t>
  </si>
  <si>
    <t>Gợi ý mức độ chăm sóc phù hợp</t>
  </si>
  <si>
    <t>Dựa trên mức độ nghiêm trọng, gợi ý hành động: tự chăm sóc tại nhà / nên gặp bác sĩ / cần cấp cứu ngay</t>
  </si>
  <si>
    <t>[Mới] Phụ thuộc use case đánh giá mức độ nghiêm trọng</t>
  </si>
  <si>
    <t>UC0042</t>
  </si>
  <si>
    <t>Đánh giá phản hồi câu trả lời AI</t>
  </si>
  <si>
    <t>Người dùng đánh giá hữu ích/không hữu ích sau mỗi câu trả lời, dùng làm dữ liệu cải thiện &amp; đánh giá chất lượng RAG</t>
  </si>
  <si>
    <t>UC0043</t>
  </si>
  <si>
    <t>Gợi ý câu hỏi liên quan</t>
  </si>
  <si>
    <t>Sau mỗi câu trả lời, gợi ý 2-3 câu hỏi liên quan để người dùng khai thác thêm</t>
  </si>
  <si>
    <t>UC0044</t>
  </si>
  <si>
    <t>Nhận diện món ăn qua ảnh (AI Vision)</t>
  </si>
  <si>
    <t>Người dùng chụp ảnh món ăn, hệ thống nhận diện thành phần và gắn nhãn mức FODMAP ước tính</t>
  </si>
  <si>
    <t>Cắt nếu cần</t>
  </si>
  <si>
    <t>[Mới] Tính năng nâng cao tham khảo Bloom/FODMAP Snap — chỉ làm nếu dư thời gian, cần thêm model/API nhận diện ảnh</t>
  </si>
  <si>
    <t>Admin</t>
  </si>
  <si>
    <t>Đăng nhập quản trị</t>
  </si>
  <si>
    <t>Dùng chung Auth module, phân quyền riêng</t>
  </si>
  <si>
    <t>GĐ1 làm cơ chế đăng nhập/session admin chung với Auth. 
GĐ5 mới làm giao diện login riêng cho trang CMS.</t>
  </si>
  <si>
    <t>UC0046</t>
  </si>
  <si>
    <t>Quản lý danh sách người dùng</t>
  </si>
  <si>
    <t>Xem, khóa/mở tài khoản bệnh nhân</t>
  </si>
  <si>
    <t>UC0047</t>
  </si>
  <si>
    <t>Gán vai trò RBAC</t>
  </si>
  <si>
    <t>Gán vai trò cho tài khoản (tối thiểu 3 vai trò)</t>
  </si>
  <si>
    <t>UC0048</t>
  </si>
  <si>
    <t>Admin / Bác sĩ</t>
  </si>
  <si>
    <t>Tải lên tài liệu y khoa</t>
  </si>
  <si>
    <t>Thêm tài liệu mới vào kho tri thức RAG</t>
  </si>
  <si>
    <t>UC0049</t>
  </si>
  <si>
    <t>Quản lý phiên bản tài liệu</t>
  </si>
  <si>
    <t>Số hóa lại khi tài liệu được cập nhật</t>
  </si>
  <si>
    <t>Phức tạp do phải re-index embedding</t>
  </si>
  <si>
    <t>UC0050</t>
  </si>
  <si>
    <t>Xóa / gỡ tài liệu</t>
  </si>
  <si>
    <t>Gỡ tài liệu khỏi kho tri thức</t>
  </si>
  <si>
    <t>UC0051</t>
  </si>
  <si>
    <t>Dashboard thống kê</t>
  </si>
  <si>
    <t>Số lượt chat, triệu chứng phổ biến, số lần Triage kích hoạt</t>
  </si>
  <si>
    <t>Giai đoạn 6</t>
  </si>
  <si>
    <t>UC0052</t>
  </si>
  <si>
    <t>Nhật ký hoạt động hệ thống (Audit Log)</t>
  </si>
  <si>
    <t>Ghi nhận thao tác nhạy cảm: sửa tài liệu, đổi phân quyền, truy cập dữ liệu người dùng</t>
  </si>
  <si>
    <t>UC0053</t>
  </si>
  <si>
    <t>Lọc / tìm kiếm Audit Log</t>
  </si>
  <si>
    <t>Lọc theo hành động, người dùng, thời gian</t>
  </si>
  <si>
    <t>Cắt nếu thiếu thời gian, giữ log dạng danh sách đơn giản</t>
  </si>
  <si>
    <t>UC0054</t>
  </si>
  <si>
    <t>Quản lý danh sách từ khóa Triage</t>
  </si>
  <si>
    <t>Thêm/sửa/xóa từ khóa dấu hiệu cấp cứu dùng cho tầng 1 Triage thay vì hardcode trong code</t>
  </si>
  <si>
    <t>Giai đoạn 3 / 5</t>
  </si>
  <si>
    <t>[Mới] Giúp hệ thống dễ mở rộng, tránh phải sửa code mỗi khi cần thêm từ khóa cấp cứu.
GĐ3 để từ khóa hardcode tạm cho Triage chạy đúng hạn. 
GĐ5 mới làm màn hình admin CRUD từ khóa.</t>
  </si>
  <si>
    <t>UC0055</t>
  </si>
  <si>
    <t>Tìm kiếm tài liệu trong kho tri thức</t>
  </si>
  <si>
    <t>Tìm theo tên, nguồn, thời điểm cập nhật khi kho tri thức RAG lớn dần</t>
  </si>
  <si>
    <t>UC0056</t>
  </si>
  <si>
    <t>Xuất báo cáo dashboard</t>
  </si>
  <si>
    <t>Xuất số liệu thống kê (lượt chat, triệu chứng phổ biến, số lần Triage) ra Excel/PDF</t>
  </si>
  <si>
    <t>Sao lưu định kỳ dữ liệu (backup CSDL)</t>
  </si>
  <si>
    <t>Backup định kỳ PostgreSQL/MySQL bằng pg_dump/mysqldump theo lịch cron đơn giản, không cần Docker</t>
  </si>
  <si>
    <t>[Mới] Bảo vệ dữ liệu y tế nhạy cảm khỏi mất mát</t>
  </si>
  <si>
    <t>Khôi phục dữ liệu từ backup</t>
  </si>
  <si>
    <t>Restore CSDL từ bản backup gần nhất khi có sự cố mất/hỏng dữ liệu</t>
  </si>
  <si>
    <t>[Mới] Có backup mà không kiểm chứng được restore thì vô nghĩa</t>
  </si>
  <si>
    <t>UC0059</t>
  </si>
  <si>
    <t>Cấu hình tham số RAG/Triage</t>
  </si>
  <si>
    <t>Chỉnh top-k truy xuất, ngưỡng similarity, bật/tắt kênh thông báo... qua màn hình cấu hình thay vì sửa code</t>
  </si>
  <si>
    <t>[Mới] Cắt nếu thiếu thời gian, để tham số cố định trong file config cũng được</t>
  </si>
  <si>
    <t>UC0060</t>
  </si>
  <si>
    <t>Quản lý danh mục chuẩn hóa (triệu chứng, thuốc)</t>
  </si>
  <si>
    <t>CRUD danh mục triệu chứng/bệnh lý tiêu hóa và danh mục thuốc thường dùng, dùng làm dropdown cho hồ sơ bệnh lý, nhật ký thuốc và khớp từ khóa Triage</t>
  </si>
  <si>
    <t>Giai đoạn 4 / 5</t>
  </si>
  <si>
    <t>[Mới] Dữ liệu sạch hơn, khớp Triage tốt hơn so với để người dùng nhập tự do.
GĐ4 cần có SẴN danh mục (seed data) để làm dropdown cho hồ sơ bệnh lý/nhật ký thuốc. 
GĐ5 mới làm màn hình admin CRUD danh mục thật.</t>
  </si>
  <si>
    <t>UC0061</t>
  </si>
  <si>
    <t>Theo dõi trạng thái xử lý tài liệu</t>
  </si>
  <si>
    <t>Xem từng tài liệu đang ở bước nào trong pipeline số hóa: trích xuất / chunking / embedding / hoàn tất / lỗi</t>
  </si>
  <si>
    <t>Giai đoạn 2 / 5</t>
  </si>
  <si>
    <t>[Mới] Tránh tình trạng upload xong không biết pipeline chạy tới đâu, hữu ích khi debug.
GĐ2 cần có field trạng thái (pending/processing/done/error) trong schema khi xây pipeline số hóa. 
GĐ5 mới làm màn hình admin xem trạng thái đó.</t>
  </si>
  <si>
    <t>UC0062</t>
  </si>
  <si>
    <t>Quản lý FAQ (câu hỏi thường gặp)</t>
  </si>
  <si>
    <t>CRUD danh sách câu hỏi thường gặp về bệnh lý tiêu hóa, hiển thị cho bệnh nhân trước khi cần hỏi AI</t>
  </si>
  <si>
    <t>UC0063</t>
  </si>
  <si>
    <t>Cảnh báo bất thường từ Audit Log</t>
  </si>
  <si>
    <t>Đặt ngưỡng cảnh báo khi phát hiện truy cập bất thường (vd 1 tài khoản truy cập dữ liệu người dùng quá nhiều lần trong thời gian ngắn)</t>
  </si>
  <si>
    <t>[Mới] Tăng bảo mật cho dữ liệu y tế nhạy cảm, có thể cắt nếu thiếu thời gian</t>
  </si>
  <si>
    <t>UC0064</t>
  </si>
  <si>
    <t>Xuất nhật ký Audit Log</t>
  </si>
  <si>
    <t>Xuất log thô ra file (CSV/Excel) phục vụ điều tra sự cố hoặc lưu trữ, khác với xuất báo cáo dashboard</t>
  </si>
  <si>
    <t>UC0065</t>
  </si>
  <si>
    <t>Quản lý bài viết kiến thức tiêu hóa</t>
  </si>
  <si>
    <t>CRUD bài viết dài (khác FAQ ngắn), có category, dùng làm nội dung giáo dục cho bệnh nhân, do bác sĩ nội dung biên soạn/duyệt</t>
  </si>
  <si>
    <t>UC0066</t>
  </si>
  <si>
    <t>Quản lý danh mục/chủ đề bài viết</t>
  </si>
  <si>
    <t>CRUD nhóm chủ đề (vd: dạ dày, đại tràng, chế độ ăn) để phân loại bài viết &amp; FAQ</t>
  </si>
  <si>
    <t>UC0067</t>
  </si>
  <si>
    <t>Cảnh báo khẩn cấp qua WebSocket</t>
  </si>
  <si>
    <t>Đẩy cảnh báo Triage tới dashboard admin theo thời gian thực</t>
  </si>
  <si>
    <t>Phần bắt buộc duy nhất của phân hệ này</t>
  </si>
  <si>
    <t>UC0068</t>
  </si>
  <si>
    <t>Nhắc uống thuốc trong ứng dụng</t>
  </si>
  <si>
    <t>Gửi nhắc nhở qua kênh in-app/WebSocket khi đang online</t>
  </si>
  <si>
    <t>GĐ4 tạo lịch nhắc thuốc ở phân hệ người dùng. 
GĐ7 mới làm cơ chế đẩy thông báo in-app/WebSocket thật khi tới giờ.</t>
  </si>
  <si>
    <t>UC0069</t>
  </si>
  <si>
    <t>Email xác thực tài khoản</t>
  </si>
  <si>
    <t>Gửi email xác thực khi đăng ký</t>
  </si>
  <si>
    <t>Giai đoạn 7</t>
  </si>
  <si>
    <t>UC0070</t>
  </si>
  <si>
    <t>Email đặt lại mật khẩu</t>
  </si>
  <si>
    <t>Gửi email chứa link/mã đặt lại mật khẩu</t>
  </si>
  <si>
    <t>UC0071</t>
  </si>
  <si>
    <t>Email nhắc uống thuốc khi offline</t>
  </si>
  <si>
    <t>Gửi email nhắc nhở khi người dùng không trực tuyến</t>
  </si>
  <si>
    <t>Có thể gộp chung hạ tầng gửi email với 2 mục email phía trên</t>
  </si>
  <si>
    <t>UC0072</t>
  </si>
  <si>
    <t>SMS OTP</t>
  </si>
  <si>
    <t>Gửi mã OTP qua SMS nếu điều kiện triển khai cho phép</t>
  </si>
  <si>
    <t>Ưu tiên thấp nhất do chi phí dịch vụ SMS; đúng như ghi chú trong đề cương</t>
  </si>
  <si>
    <t>UC0073</t>
  </si>
  <si>
    <t>Cài đặt thông báo cá nhân</t>
  </si>
  <si>
    <t>Bật/tắt từng loại nhắc nhở theo ý người dùng</t>
  </si>
  <si>
    <t>UC0074</t>
  </si>
  <si>
    <t>Quản lý mẫu thông báo/email</t>
  </si>
  <si>
    <t>Chỉnh nội dung mẫu email xác thực, nhắc thuốc, cảnh báo... mà không cần sửa code</t>
  </si>
  <si>
    <t>UC0075</t>
  </si>
  <si>
    <t>Gửi thông báo broadcast tới người dùng</t>
  </si>
  <si>
    <t>Admin gửi thông báo chung tới toàn bộ/một nhóm bệnh nhân (vd bảo trì hệ thống, tài liệu y khoa mới)</t>
  </si>
  <si>
    <t>UC0076</t>
  </si>
  <si>
    <t>Trung tâm thông báo trong ứng dụng</t>
  </si>
  <si>
    <t>Xem danh sách thông báo đã nhận, đánh dấu đã đọc, xóa — bổ sung phần lưu vết cho các cảnh báo/nhắc nhở đã gửi qua WebSocket</t>
  </si>
  <si>
    <t>Giai đoạn 3 / 4</t>
  </si>
  <si>
    <t>[Mới] Hiện tại chỉ có push realtime, chưa có nơi xem lại lịch sử thông báo.
GĐ3 cần có sẵn WebSocket (từ lúc làm Triage alert) làm nền. 
GĐ4 mới làm UI hộp thư thông báo cho bệnh nhân xem/đánh dấu đã đọc.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</si>
</sst>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1.0"/>
      <color theme="1"/>
      <name val="Calibri"/>
      <scheme val="minor"/>
    </font>
    <font>
      <b/>
      <sz val="14.0"/>
      <color rgb="FF1F3864"/>
      <name val="Calibri"/>
      <scheme val="minor"/>
    </font>
    <font>
      <i/>
      <sz val="10.0"/>
      <color rgb="FF666666"/>
      <name val="Calibri"/>
      <scheme val="minor"/>
    </font>
    <font>
      <b/>
      <sz val="11.0"/>
      <color rgb="FFFFFFFF"/>
      <name val="Calibri"/>
      <scheme val="minor"/>
    </font>
    <font>
      <b/>
      <sz val="12.0"/>
      <color theme="1"/>
      <name val="Calibri"/>
      <scheme val="minor"/>
    </font>
    <font>
      <sz val="11.0"/>
      <color theme="1"/>
      <name val="Calibri"/>
    </font>
    <font>
      <b/>
      <color theme="1"/>
      <name val="Calibri"/>
      <scheme val="minor"/>
    </font>
    <font>
      <sz val="14.0"/>
      <color theme="1"/>
      <name val="Calibri"/>
      <scheme val="minor"/>
    </font>
  </fonts>
  <fills count="9">
    <fill>
      <patternFill patternType="none"/>
    </fill>
    <fill>
      <patternFill patternType="lightGray"/>
    </fill>
    <fill>
      <patternFill patternType="solid">
        <fgColor rgb="FF1F3864"/>
        <bgColor rgb="FF1F3864"/>
      </patternFill>
    </fill>
    <fill>
      <patternFill patternType="solid">
        <fgColor rgb="FFFCE4D6"/>
        <bgColor rgb="FFFCE4D6"/>
      </patternFill>
    </fill>
    <fill>
      <patternFill patternType="solid">
        <fgColor rgb="FFC6E0B4"/>
        <bgColor rgb="FFC6E0B4"/>
      </patternFill>
    </fill>
    <fill>
      <patternFill patternType="solid">
        <fgColor rgb="FFD9D9D9"/>
        <bgColor rgb="FFD9D9D9"/>
      </patternFill>
    </fill>
    <fill>
      <patternFill patternType="solid">
        <fgColor rgb="FFF8696B"/>
        <bgColor rgb="FFF8696B"/>
      </patternFill>
    </fill>
    <fill>
      <patternFill patternType="solid">
        <fgColor rgb="FFFFEB84"/>
        <bgColor rgb="FFFFEB84"/>
      </patternFill>
    </fill>
    <fill>
      <patternFill patternType="solid">
        <fgColor rgb="FFBFE1F6"/>
        <bgColor rgb="FFBFE1F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0" fillId="0" fontId="4" numFmtId="0" xfId="0" applyFont="1"/>
    <xf borderId="1" fillId="0" fontId="5" numFmtId="0" xfId="0" applyAlignment="1" applyBorder="1" applyFont="1">
      <alignment readingOrder="0"/>
    </xf>
    <xf borderId="1" fillId="2" fontId="3" numFmtId="0" xfId="0" applyBorder="1" applyFill="1" applyFont="1"/>
    <xf borderId="1" fillId="2" fontId="3" numFmtId="0" xfId="0" applyAlignment="1" applyBorder="1" applyFill="1" applyFont="1">
      <alignment horizontal="center" readingOrder="0" shrinkToFit="0" vertical="center" wrapText="1"/>
    </xf>
    <xf borderId="1" fillId="0" fontId="5" numFmtId="0" xfId="0" applyAlignment="1" applyBorder="1" applyFont="1">
      <alignment shrinkToFit="0" vertical="center" wrapText="1"/>
    </xf>
    <xf borderId="1" fillId="3" fontId="5" numFmtId="0" xfId="0" applyAlignment="1" applyBorder="1" applyFill="1" applyFont="1">
      <alignment shrinkToFit="0" vertical="center" wrapText="1"/>
    </xf>
    <xf borderId="1" fillId="0" fontId="5" numFmtId="0" xfId="0" applyAlignment="1" applyBorder="1" applyFont="1">
      <alignment horizontal="center" shrinkToFit="0" vertical="center" wrapText="1"/>
    </xf>
    <xf borderId="1" fillId="4" fontId="5" numFmtId="0" xfId="0" applyAlignment="1" applyBorder="1" applyFill="1" applyFont="1">
      <alignment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xf>
    <xf borderId="1" fillId="0" fontId="5" numFmtId="0" xfId="0" applyAlignment="1" applyBorder="1" applyFont="1">
      <alignment horizontal="left" shrinkToFit="0" vertical="center" wrapText="1"/>
    </xf>
    <xf borderId="1" fillId="5" fontId="5" numFmtId="0" xfId="0" applyAlignment="1" applyBorder="1" applyFill="1" applyFont="1">
      <alignment shrinkToFit="0" vertical="center" wrapText="1"/>
    </xf>
    <xf borderId="1" fillId="3" fontId="5" numFmtId="0" xfId="0" applyAlignment="1" applyBorder="1" applyFill="1" applyFont="1">
      <alignment horizontal="center" shrinkToFit="0" vertical="center" wrapText="1"/>
    </xf>
    <xf borderId="1" fillId="0" fontId="5" numFmtId="0" xfId="0" applyBorder="1" applyFont="1"/>
    <xf borderId="0" fillId="0" fontId="6" numFmtId="0" xfId="0" applyFont="1"/>
    <xf borderId="0" fillId="0" fontId="5" numFmtId="0" xfId="0" applyAlignment="1" applyFont="1">
      <alignment shrinkToFit="0" vertical="center" wrapText="1"/>
    </xf>
    <xf borderId="1" fillId="6" fontId="5" numFmtId="0" xfId="0" applyAlignment="1" applyBorder="1" applyFill="1" applyFont="1">
      <alignment horizontal="center" shrinkToFit="0" vertical="center" wrapText="1"/>
    </xf>
    <xf borderId="1" fillId="0" fontId="5" numFmtId="0" xfId="0" applyAlignment="1" applyBorder="1" applyFont="1">
      <alignment horizontal="center" vertical="center"/>
    </xf>
    <xf borderId="1" fillId="0" fontId="5" numFmtId="0" xfId="0" applyAlignment="1" applyBorder="1" applyFont="1">
      <alignment horizontal="center" readingOrder="0" vertical="center"/>
    </xf>
    <xf borderId="1" fillId="7" fontId="5" numFmtId="0" xfId="0" applyAlignment="1" applyBorder="1" applyFill="1" applyFont="1">
      <alignment horizontal="center" shrinkToFit="0" vertical="center" wrapText="1"/>
    </xf>
    <xf borderId="1" fillId="0" fontId="5" numFmtId="0" xfId="0" applyAlignment="1" applyBorder="1" applyFont="1">
      <alignment horizontal="left" readingOrder="0" shrinkToFit="0" vertical="center" wrapText="1"/>
    </xf>
    <xf borderId="1" fillId="0" fontId="6" numFmtId="0" xfId="0" applyBorder="1" applyFont="1"/>
    <xf borderId="1" fillId="8" fontId="5"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0" fillId="0" fontId="7" numFmtId="164" xfId="0" applyAlignment="1" applyFont="1" applyNumberFormat="1">
      <alignment readingOrder="0"/>
    </xf>
    <xf borderId="0" fillId="0" fontId="7" numFmtId="0" xfId="0" applyFont="1"/>
    <xf borderId="0" fillId="0" fontId="7" numFmtId="0" xfId="0" applyAlignment="1" applyFont="1">
      <alignment readingOrder="0"/>
    </xf>
    <xf borderId="1" fillId="5" fontId="5"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20.0"/>
    <col customWidth="1" min="3" max="3" width="12.0"/>
    <col customWidth="1" min="4" max="4" width="28.0"/>
    <col customWidth="1" min="5" max="5" width="30.0"/>
    <col customWidth="1" min="6" max="6" width="55.0"/>
    <col customWidth="1" min="7" max="26" width="8.71"/>
  </cols>
  <sheetData>
    <row r="1">
      <c r="A1" s="1" t="s">
        <v>2</v>
      </c>
    </row>
    <row r="2">
      <c r="A2" s="2" t="s">
        <v>4</v>
      </c>
    </row>
    <row r="4">
      <c r="A4" s="3" t="s">
        <v>10</v>
      </c>
      <c r="B4" s="3" t="s">
        <v>14</v>
      </c>
      <c r="C4" s="3" t="s">
        <v>16</v>
      </c>
      <c r="D4" s="3" t="s">
        <v>19</v>
      </c>
      <c r="E4" s="3" t="s">
        <v>20</v>
      </c>
      <c r="F4" s="3" t="s">
        <v>13</v>
      </c>
    </row>
    <row r="5">
      <c r="A5" s="8" t="s">
        <v>23</v>
      </c>
      <c r="B5" s="9" t="s">
        <v>30</v>
      </c>
      <c r="C5" s="8">
        <v>8.0</v>
      </c>
      <c r="D5" s="8" t="s">
        <v>39</v>
      </c>
      <c r="E5" s="8" t="s">
        <v>41</v>
      </c>
      <c r="F5" s="8" t="s">
        <v>44</v>
      </c>
    </row>
    <row r="6">
      <c r="A6" s="8" t="s">
        <v>46</v>
      </c>
      <c r="B6" s="11" t="s">
        <v>49</v>
      </c>
      <c r="C6" s="8">
        <v>19.0</v>
      </c>
      <c r="D6" s="8" t="s">
        <v>39</v>
      </c>
      <c r="E6" s="8" t="s">
        <v>54</v>
      </c>
      <c r="F6" s="8" t="s">
        <v>56</v>
      </c>
    </row>
    <row r="7">
      <c r="A7" s="8" t="s">
        <v>57</v>
      </c>
      <c r="B7" s="11" t="s">
        <v>49</v>
      </c>
      <c r="C7" s="8">
        <v>17.0</v>
      </c>
      <c r="D7" s="8" t="s">
        <v>39</v>
      </c>
      <c r="E7" s="8" t="s">
        <v>60</v>
      </c>
      <c r="F7" s="8" t="s">
        <v>62</v>
      </c>
    </row>
    <row r="8">
      <c r="A8" s="8" t="s">
        <v>64</v>
      </c>
      <c r="B8" s="11" t="s">
        <v>49</v>
      </c>
      <c r="C8" s="8">
        <v>22.0</v>
      </c>
      <c r="D8" s="8" t="s">
        <v>67</v>
      </c>
      <c r="E8" s="8" t="s">
        <v>68</v>
      </c>
      <c r="F8" s="8" t="s">
        <v>69</v>
      </c>
    </row>
    <row r="9">
      <c r="A9" s="8" t="s">
        <v>71</v>
      </c>
      <c r="B9" s="9" t="s">
        <v>72</v>
      </c>
      <c r="C9" s="8">
        <v>10.0</v>
      </c>
      <c r="D9" s="8" t="s">
        <v>73</v>
      </c>
      <c r="E9" s="8" t="s">
        <v>74</v>
      </c>
      <c r="F9" s="8" t="s">
        <v>75</v>
      </c>
    </row>
    <row r="11">
      <c r="A11" s="18" t="s">
        <v>81</v>
      </c>
      <c r="C11" s="18">
        <v>76.0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1.57"/>
    <col customWidth="1" min="3" max="3" width="22.0"/>
    <col customWidth="1" min="4" max="4" width="12.0"/>
    <col customWidth="1" min="5" max="5" width="16.0"/>
    <col customWidth="1" min="6" max="6" width="40.0"/>
    <col customWidth="1" min="7" max="7" width="51.14"/>
    <col customWidth="1" min="8" max="8" width="25.43"/>
    <col customWidth="1" min="9" max="9" width="12.0"/>
    <col customWidth="1" min="10" max="10" width="14.0"/>
    <col customWidth="1" min="11" max="11" width="16.0"/>
    <col customWidth="1" min="12" max="12" width="101.43"/>
    <col customWidth="1" min="13" max="13" width="14.0"/>
    <col customWidth="1" min="14" max="27" width="8.71"/>
  </cols>
  <sheetData>
    <row r="1">
      <c r="A1" s="1" t="s">
        <v>1</v>
      </c>
    </row>
    <row r="2">
      <c r="A2" s="2" t="s">
        <v>5</v>
      </c>
    </row>
    <row r="4">
      <c r="A4" s="3" t="s">
        <v>9</v>
      </c>
      <c r="B4" s="7" t="s">
        <v>18</v>
      </c>
      <c r="C4" s="3" t="s">
        <v>10</v>
      </c>
      <c r="D4" s="3" t="s">
        <v>25</v>
      </c>
      <c r="E4" s="3" t="s">
        <v>26</v>
      </c>
      <c r="F4" s="3" t="s">
        <v>27</v>
      </c>
      <c r="G4" s="3" t="s">
        <v>29</v>
      </c>
      <c r="H4" s="3" t="s">
        <v>32</v>
      </c>
      <c r="I4" s="3" t="s">
        <v>8</v>
      </c>
      <c r="J4" s="3" t="s">
        <v>35</v>
      </c>
      <c r="K4" s="3" t="s">
        <v>37</v>
      </c>
      <c r="L4" s="3" t="s">
        <v>13</v>
      </c>
      <c r="M4" s="3" t="s">
        <v>43</v>
      </c>
    </row>
    <row r="5">
      <c r="A5" s="10">
        <v>1.0</v>
      </c>
      <c r="B5" s="12" t="s">
        <v>50</v>
      </c>
      <c r="C5" s="14" t="s">
        <v>23</v>
      </c>
      <c r="D5" s="16" t="s">
        <v>72</v>
      </c>
      <c r="E5" s="14" t="s">
        <v>77</v>
      </c>
      <c r="F5" s="14" t="s">
        <v>78</v>
      </c>
      <c r="G5" s="14" t="s">
        <v>80</v>
      </c>
      <c r="H5" s="14" t="s">
        <v>84</v>
      </c>
      <c r="I5" s="10">
        <v>2.0</v>
      </c>
      <c r="J5" s="20" t="s">
        <v>39</v>
      </c>
      <c r="K5" s="10" t="s">
        <v>41</v>
      </c>
      <c r="L5" s="14" t="s">
        <v>89</v>
      </c>
      <c r="M5" s="21"/>
    </row>
    <row r="6">
      <c r="A6" s="10">
        <v>2.0</v>
      </c>
      <c r="B6" s="12" t="s">
        <v>91</v>
      </c>
      <c r="C6" s="14" t="s">
        <v>23</v>
      </c>
      <c r="D6" s="16" t="s">
        <v>72</v>
      </c>
      <c r="E6" s="14" t="s">
        <v>77</v>
      </c>
      <c r="F6" s="14" t="s">
        <v>92</v>
      </c>
      <c r="G6" s="14" t="s">
        <v>93</v>
      </c>
      <c r="H6" s="14" t="s">
        <v>84</v>
      </c>
      <c r="I6" s="10">
        <v>3.0</v>
      </c>
      <c r="J6" s="20" t="s">
        <v>39</v>
      </c>
      <c r="K6" s="10" t="s">
        <v>41</v>
      </c>
      <c r="L6" s="14"/>
      <c r="M6" s="22" t="s">
        <v>15</v>
      </c>
    </row>
    <row r="7">
      <c r="A7" s="10">
        <v>3.0</v>
      </c>
      <c r="B7" s="12" t="s">
        <v>95</v>
      </c>
      <c r="C7" s="14" t="s">
        <v>23</v>
      </c>
      <c r="D7" s="16" t="s">
        <v>72</v>
      </c>
      <c r="E7" s="14" t="s">
        <v>77</v>
      </c>
      <c r="F7" s="14" t="s">
        <v>96</v>
      </c>
      <c r="G7" s="14" t="s">
        <v>97</v>
      </c>
      <c r="H7" s="14" t="s">
        <v>84</v>
      </c>
      <c r="I7" s="10">
        <v>1.0</v>
      </c>
      <c r="J7" s="20" t="s">
        <v>39</v>
      </c>
      <c r="K7" s="10" t="s">
        <v>41</v>
      </c>
      <c r="L7" s="14"/>
      <c r="M7" s="21"/>
    </row>
    <row r="8">
      <c r="A8" s="10">
        <v>4.0</v>
      </c>
      <c r="B8" s="12" t="s">
        <v>98</v>
      </c>
      <c r="C8" s="14" t="s">
        <v>23</v>
      </c>
      <c r="D8" s="16" t="s">
        <v>72</v>
      </c>
      <c r="E8" s="14" t="s">
        <v>77</v>
      </c>
      <c r="F8" s="14" t="s">
        <v>99</v>
      </c>
      <c r="G8" s="14" t="s">
        <v>100</v>
      </c>
      <c r="H8" s="14" t="s">
        <v>84</v>
      </c>
      <c r="I8" s="10">
        <v>2.0</v>
      </c>
      <c r="J8" s="23" t="s">
        <v>101</v>
      </c>
      <c r="K8" s="10" t="s">
        <v>102</v>
      </c>
      <c r="L8" s="24" t="s">
        <v>103</v>
      </c>
      <c r="M8" s="21"/>
    </row>
    <row r="9">
      <c r="A9" s="10">
        <v>5.0</v>
      </c>
      <c r="B9" s="12" t="s">
        <v>104</v>
      </c>
      <c r="C9" s="14" t="s">
        <v>23</v>
      </c>
      <c r="D9" s="16" t="s">
        <v>72</v>
      </c>
      <c r="E9" s="14" t="s">
        <v>77</v>
      </c>
      <c r="F9" s="14" t="s">
        <v>105</v>
      </c>
      <c r="G9" s="14" t="s">
        <v>106</v>
      </c>
      <c r="H9" s="14" t="s">
        <v>84</v>
      </c>
      <c r="I9" s="10">
        <v>1.0</v>
      </c>
      <c r="J9" s="23" t="s">
        <v>101</v>
      </c>
      <c r="K9" s="10" t="s">
        <v>41</v>
      </c>
      <c r="L9" s="14"/>
      <c r="M9" s="21"/>
    </row>
    <row r="10">
      <c r="A10" s="10">
        <v>6.0</v>
      </c>
      <c r="B10" s="12" t="s">
        <v>108</v>
      </c>
      <c r="C10" s="14" t="s">
        <v>23</v>
      </c>
      <c r="D10" s="16" t="s">
        <v>72</v>
      </c>
      <c r="E10" s="14" t="s">
        <v>109</v>
      </c>
      <c r="F10" s="14" t="s">
        <v>110</v>
      </c>
      <c r="G10" s="14" t="s">
        <v>111</v>
      </c>
      <c r="H10" s="14" t="s">
        <v>112</v>
      </c>
      <c r="I10" s="10">
        <v>3.0</v>
      </c>
      <c r="J10" s="20" t="s">
        <v>39</v>
      </c>
      <c r="K10" s="10" t="s">
        <v>113</v>
      </c>
      <c r="L10" s="24" t="s">
        <v>114</v>
      </c>
      <c r="M10" s="21"/>
    </row>
    <row r="11">
      <c r="A11" s="10">
        <v>7.0</v>
      </c>
      <c r="B11" s="12" t="s">
        <v>116</v>
      </c>
      <c r="C11" s="14" t="s">
        <v>23</v>
      </c>
      <c r="D11" s="16" t="s">
        <v>72</v>
      </c>
      <c r="E11" s="14" t="s">
        <v>77</v>
      </c>
      <c r="F11" s="14" t="s">
        <v>117</v>
      </c>
      <c r="G11" s="14" t="s">
        <v>118</v>
      </c>
      <c r="H11" s="14" t="s">
        <v>84</v>
      </c>
      <c r="I11" s="10">
        <v>2.0</v>
      </c>
      <c r="J11" s="26" t="s">
        <v>119</v>
      </c>
      <c r="K11" s="10" t="s">
        <v>41</v>
      </c>
      <c r="L11" s="14" t="s">
        <v>120</v>
      </c>
      <c r="M11" s="21"/>
    </row>
    <row r="12">
      <c r="A12" s="10">
        <v>8.0</v>
      </c>
      <c r="B12" s="12" t="s">
        <v>121</v>
      </c>
      <c r="C12" s="14" t="s">
        <v>23</v>
      </c>
      <c r="D12" s="16" t="s">
        <v>72</v>
      </c>
      <c r="E12" s="14" t="s">
        <v>109</v>
      </c>
      <c r="F12" s="14" t="s">
        <v>122</v>
      </c>
      <c r="G12" s="14" t="s">
        <v>123</v>
      </c>
      <c r="H12" s="14" t="s">
        <v>112</v>
      </c>
      <c r="I12" s="10">
        <v>2.0</v>
      </c>
      <c r="J12" s="23" t="s">
        <v>101</v>
      </c>
      <c r="K12" s="10" t="s">
        <v>41</v>
      </c>
      <c r="L12" s="14" t="s">
        <v>124</v>
      </c>
      <c r="M12" s="21"/>
    </row>
    <row r="13">
      <c r="A13" s="10">
        <v>9.0</v>
      </c>
      <c r="B13" s="12" t="s">
        <v>125</v>
      </c>
      <c r="C13" s="14" t="s">
        <v>46</v>
      </c>
      <c r="D13" s="27" t="s">
        <v>49</v>
      </c>
      <c r="E13" s="14" t="s">
        <v>126</v>
      </c>
      <c r="F13" s="14" t="s">
        <v>127</v>
      </c>
      <c r="G13" s="14" t="s">
        <v>128</v>
      </c>
      <c r="H13" s="14" t="s">
        <v>84</v>
      </c>
      <c r="I13" s="10">
        <v>2.0</v>
      </c>
      <c r="J13" s="20" t="s">
        <v>39</v>
      </c>
      <c r="K13" s="10" t="s">
        <v>129</v>
      </c>
      <c r="L13" s="14"/>
      <c r="M13" s="21"/>
    </row>
    <row r="14">
      <c r="A14" s="10">
        <v>10.0</v>
      </c>
      <c r="B14" s="12" t="s">
        <v>130</v>
      </c>
      <c r="C14" s="14" t="s">
        <v>46</v>
      </c>
      <c r="D14" s="27" t="s">
        <v>49</v>
      </c>
      <c r="E14" s="14" t="s">
        <v>126</v>
      </c>
      <c r="F14" s="14" t="s">
        <v>131</v>
      </c>
      <c r="G14" s="14" t="s">
        <v>132</v>
      </c>
      <c r="H14" s="14" t="s">
        <v>84</v>
      </c>
      <c r="I14" s="10">
        <v>1.0</v>
      </c>
      <c r="J14" s="23" t="s">
        <v>101</v>
      </c>
      <c r="K14" s="10" t="s">
        <v>129</v>
      </c>
      <c r="L14" s="14"/>
      <c r="M14" s="21"/>
    </row>
    <row r="15">
      <c r="A15" s="10">
        <v>11.0</v>
      </c>
      <c r="B15" s="12" t="s">
        <v>133</v>
      </c>
      <c r="C15" s="14" t="s">
        <v>46</v>
      </c>
      <c r="D15" s="27" t="s">
        <v>49</v>
      </c>
      <c r="E15" s="14" t="s">
        <v>126</v>
      </c>
      <c r="F15" s="14" t="s">
        <v>134</v>
      </c>
      <c r="G15" s="14" t="s">
        <v>135</v>
      </c>
      <c r="H15" s="14" t="s">
        <v>84</v>
      </c>
      <c r="I15" s="10">
        <v>2.0</v>
      </c>
      <c r="J15" s="20" t="s">
        <v>39</v>
      </c>
      <c r="K15" s="10" t="s">
        <v>129</v>
      </c>
      <c r="L15" s="14"/>
      <c r="M15" s="21"/>
    </row>
    <row r="16">
      <c r="A16" s="10">
        <v>12.0</v>
      </c>
      <c r="B16" s="12" t="s">
        <v>136</v>
      </c>
      <c r="C16" s="14" t="s">
        <v>46</v>
      </c>
      <c r="D16" s="27" t="s">
        <v>49</v>
      </c>
      <c r="E16" s="14" t="s">
        <v>126</v>
      </c>
      <c r="F16" s="14" t="s">
        <v>137</v>
      </c>
      <c r="G16" s="14" t="s">
        <v>138</v>
      </c>
      <c r="H16" s="14" t="s">
        <v>84</v>
      </c>
      <c r="I16" s="10">
        <v>2.0</v>
      </c>
      <c r="J16" s="23" t="s">
        <v>101</v>
      </c>
      <c r="K16" s="10" t="s">
        <v>129</v>
      </c>
      <c r="L16" s="14"/>
      <c r="M16" s="21"/>
    </row>
    <row r="17">
      <c r="A17" s="10">
        <v>13.0</v>
      </c>
      <c r="B17" s="12" t="s">
        <v>139</v>
      </c>
      <c r="C17" s="14" t="s">
        <v>46</v>
      </c>
      <c r="D17" s="27" t="s">
        <v>49</v>
      </c>
      <c r="E17" s="14" t="s">
        <v>126</v>
      </c>
      <c r="F17" s="14" t="s">
        <v>140</v>
      </c>
      <c r="G17" s="14" t="s">
        <v>141</v>
      </c>
      <c r="H17" s="14" t="s">
        <v>84</v>
      </c>
      <c r="I17" s="10">
        <v>2.0</v>
      </c>
      <c r="J17" s="20" t="s">
        <v>39</v>
      </c>
      <c r="K17" s="10" t="s">
        <v>129</v>
      </c>
      <c r="L17" s="14"/>
      <c r="M17" s="21"/>
    </row>
    <row r="18">
      <c r="A18" s="10">
        <v>14.0</v>
      </c>
      <c r="B18" s="12" t="s">
        <v>142</v>
      </c>
      <c r="C18" s="14" t="s">
        <v>46</v>
      </c>
      <c r="D18" s="27" t="s">
        <v>49</v>
      </c>
      <c r="E18" s="14" t="s">
        <v>126</v>
      </c>
      <c r="F18" s="14" t="s">
        <v>143</v>
      </c>
      <c r="G18" s="14" t="s">
        <v>144</v>
      </c>
      <c r="H18" s="14" t="s">
        <v>84</v>
      </c>
      <c r="I18" s="10">
        <v>3.0</v>
      </c>
      <c r="J18" s="23" t="s">
        <v>101</v>
      </c>
      <c r="K18" s="10" t="s">
        <v>129</v>
      </c>
      <c r="L18" s="14"/>
      <c r="M18" s="21"/>
    </row>
    <row r="19">
      <c r="A19" s="10">
        <v>15.0</v>
      </c>
      <c r="B19" s="12" t="s">
        <v>145</v>
      </c>
      <c r="C19" s="14" t="s">
        <v>46</v>
      </c>
      <c r="D19" s="27" t="s">
        <v>49</v>
      </c>
      <c r="E19" s="14" t="s">
        <v>126</v>
      </c>
      <c r="F19" s="14" t="s">
        <v>146</v>
      </c>
      <c r="G19" s="14" t="s">
        <v>147</v>
      </c>
      <c r="H19" s="14" t="s">
        <v>84</v>
      </c>
      <c r="I19" s="10">
        <v>3.0</v>
      </c>
      <c r="J19" s="20" t="s">
        <v>39</v>
      </c>
      <c r="K19" s="10" t="s">
        <v>129</v>
      </c>
      <c r="L19" s="14"/>
      <c r="M19" s="21"/>
    </row>
    <row r="20">
      <c r="A20" s="10">
        <v>16.0</v>
      </c>
      <c r="B20" s="12" t="s">
        <v>148</v>
      </c>
      <c r="C20" s="14" t="s">
        <v>46</v>
      </c>
      <c r="D20" s="27" t="s">
        <v>49</v>
      </c>
      <c r="E20" s="14" t="s">
        <v>126</v>
      </c>
      <c r="F20" s="14" t="s">
        <v>149</v>
      </c>
      <c r="G20" s="14" t="s">
        <v>150</v>
      </c>
      <c r="H20" s="14" t="s">
        <v>84</v>
      </c>
      <c r="I20" s="10">
        <v>2.0</v>
      </c>
      <c r="J20" s="23" t="s">
        <v>101</v>
      </c>
      <c r="K20" s="10" t="s">
        <v>151</v>
      </c>
      <c r="L20" s="24" t="s">
        <v>152</v>
      </c>
      <c r="M20" s="21"/>
    </row>
    <row r="21" ht="15.75" customHeight="1">
      <c r="A21" s="10">
        <v>17.0</v>
      </c>
      <c r="B21" s="12" t="s">
        <v>153</v>
      </c>
      <c r="C21" s="14" t="s">
        <v>46</v>
      </c>
      <c r="D21" s="27" t="s">
        <v>49</v>
      </c>
      <c r="E21" s="14" t="s">
        <v>126</v>
      </c>
      <c r="F21" s="14" t="s">
        <v>154</v>
      </c>
      <c r="G21" s="14" t="s">
        <v>155</v>
      </c>
      <c r="H21" s="14" t="s">
        <v>84</v>
      </c>
      <c r="I21" s="10">
        <v>2.0</v>
      </c>
      <c r="J21" s="20" t="s">
        <v>39</v>
      </c>
      <c r="K21" s="10" t="s">
        <v>156</v>
      </c>
      <c r="L21" s="14"/>
      <c r="M21" s="21"/>
    </row>
    <row r="22" ht="15.75" customHeight="1">
      <c r="A22" s="10">
        <v>18.0</v>
      </c>
      <c r="B22" s="12" t="s">
        <v>157</v>
      </c>
      <c r="C22" s="14" t="s">
        <v>46</v>
      </c>
      <c r="D22" s="27" t="s">
        <v>49</v>
      </c>
      <c r="E22" s="14" t="s">
        <v>126</v>
      </c>
      <c r="F22" s="14" t="s">
        <v>158</v>
      </c>
      <c r="G22" s="14" t="s">
        <v>159</v>
      </c>
      <c r="H22" s="14" t="s">
        <v>84</v>
      </c>
      <c r="I22" s="10">
        <v>2.0</v>
      </c>
      <c r="J22" s="23" t="s">
        <v>101</v>
      </c>
      <c r="K22" s="10" t="s">
        <v>160</v>
      </c>
      <c r="L22" s="24" t="s">
        <v>161</v>
      </c>
      <c r="M22" s="21"/>
    </row>
    <row r="23" ht="15.75" customHeight="1">
      <c r="A23" s="10">
        <v>19.0</v>
      </c>
      <c r="B23" s="12" t="s">
        <v>162</v>
      </c>
      <c r="C23" s="14" t="s">
        <v>46</v>
      </c>
      <c r="D23" s="27" t="s">
        <v>49</v>
      </c>
      <c r="E23" s="14" t="s">
        <v>126</v>
      </c>
      <c r="F23" s="14" t="s">
        <v>163</v>
      </c>
      <c r="G23" s="14" t="s">
        <v>164</v>
      </c>
      <c r="H23" s="14" t="s">
        <v>84</v>
      </c>
      <c r="I23" s="10">
        <v>3.0</v>
      </c>
      <c r="J23" s="26" t="s">
        <v>119</v>
      </c>
      <c r="K23" s="10" t="s">
        <v>129</v>
      </c>
      <c r="L23" s="14" t="s">
        <v>165</v>
      </c>
      <c r="M23" s="21"/>
    </row>
    <row r="24" ht="15.75" customHeight="1">
      <c r="A24" s="10">
        <v>20.0</v>
      </c>
      <c r="B24" s="12" t="s">
        <v>166</v>
      </c>
      <c r="C24" s="14" t="s">
        <v>46</v>
      </c>
      <c r="D24" s="27" t="s">
        <v>49</v>
      </c>
      <c r="E24" s="14" t="s">
        <v>126</v>
      </c>
      <c r="F24" s="14" t="s">
        <v>167</v>
      </c>
      <c r="G24" s="14" t="s">
        <v>168</v>
      </c>
      <c r="H24" s="14" t="s">
        <v>84</v>
      </c>
      <c r="I24" s="10">
        <v>3.0</v>
      </c>
      <c r="J24" s="26" t="s">
        <v>119</v>
      </c>
      <c r="K24" s="10" t="s">
        <v>129</v>
      </c>
      <c r="L24" s="14" t="s">
        <v>169</v>
      </c>
      <c r="M24" s="21"/>
    </row>
    <row r="25" ht="15.75" customHeight="1">
      <c r="A25" s="10">
        <v>21.0</v>
      </c>
      <c r="B25" s="12" t="s">
        <v>170</v>
      </c>
      <c r="C25" s="14" t="s">
        <v>46</v>
      </c>
      <c r="D25" s="27" t="s">
        <v>49</v>
      </c>
      <c r="E25" s="14" t="s">
        <v>126</v>
      </c>
      <c r="F25" s="14" t="s">
        <v>171</v>
      </c>
      <c r="G25" s="14" t="s">
        <v>172</v>
      </c>
      <c r="H25" s="14" t="s">
        <v>84</v>
      </c>
      <c r="I25" s="10">
        <v>1.0</v>
      </c>
      <c r="J25" s="26" t="s">
        <v>119</v>
      </c>
      <c r="K25" s="10" t="s">
        <v>173</v>
      </c>
      <c r="L25" s="14" t="s">
        <v>169</v>
      </c>
      <c r="M25" s="21"/>
    </row>
    <row r="26" ht="15.75" customHeight="1">
      <c r="A26" s="10">
        <v>22.0</v>
      </c>
      <c r="B26" s="12" t="s">
        <v>174</v>
      </c>
      <c r="C26" s="14" t="s">
        <v>46</v>
      </c>
      <c r="D26" s="27" t="s">
        <v>49</v>
      </c>
      <c r="E26" s="14" t="s">
        <v>126</v>
      </c>
      <c r="F26" s="14" t="s">
        <v>175</v>
      </c>
      <c r="G26" s="14" t="s">
        <v>176</v>
      </c>
      <c r="H26" s="14" t="s">
        <v>112</v>
      </c>
      <c r="I26" s="10">
        <v>4.0</v>
      </c>
      <c r="J26" s="23" t="s">
        <v>101</v>
      </c>
      <c r="K26" s="10" t="s">
        <v>129</v>
      </c>
      <c r="L26" s="14" t="s">
        <v>177</v>
      </c>
      <c r="M26" s="21"/>
    </row>
    <row r="27" ht="15.75" customHeight="1">
      <c r="A27" s="10">
        <v>23.0</v>
      </c>
      <c r="B27" s="12" t="s">
        <v>178</v>
      </c>
      <c r="C27" s="14" t="s">
        <v>46</v>
      </c>
      <c r="D27" s="27" t="s">
        <v>49</v>
      </c>
      <c r="E27" s="14" t="s">
        <v>126</v>
      </c>
      <c r="F27" s="14" t="s">
        <v>179</v>
      </c>
      <c r="G27" s="14" t="s">
        <v>180</v>
      </c>
      <c r="H27" s="14" t="s">
        <v>84</v>
      </c>
      <c r="I27" s="10">
        <v>3.0</v>
      </c>
      <c r="J27" s="26" t="s">
        <v>119</v>
      </c>
      <c r="K27" s="10" t="s">
        <v>129</v>
      </c>
      <c r="L27" s="14" t="s">
        <v>181</v>
      </c>
      <c r="M27" s="21"/>
    </row>
    <row r="28" ht="15.75" customHeight="1">
      <c r="A28" s="10">
        <v>24.0</v>
      </c>
      <c r="B28" s="12" t="s">
        <v>182</v>
      </c>
      <c r="C28" s="14" t="s">
        <v>46</v>
      </c>
      <c r="D28" s="27" t="s">
        <v>49</v>
      </c>
      <c r="E28" s="14" t="s">
        <v>126</v>
      </c>
      <c r="F28" s="14" t="s">
        <v>183</v>
      </c>
      <c r="G28" s="14" t="s">
        <v>184</v>
      </c>
      <c r="H28" s="14" t="s">
        <v>112</v>
      </c>
      <c r="I28" s="10">
        <v>2.0</v>
      </c>
      <c r="J28" s="26" t="s">
        <v>119</v>
      </c>
      <c r="K28" s="10" t="s">
        <v>151</v>
      </c>
      <c r="L28" s="24" t="s">
        <v>185</v>
      </c>
      <c r="M28" s="21"/>
    </row>
    <row r="29" ht="15.75" customHeight="1">
      <c r="A29" s="10">
        <v>25.0</v>
      </c>
      <c r="B29" s="12" t="s">
        <v>186</v>
      </c>
      <c r="C29" s="14" t="s">
        <v>46</v>
      </c>
      <c r="D29" s="27" t="s">
        <v>49</v>
      </c>
      <c r="E29" s="14" t="s">
        <v>126</v>
      </c>
      <c r="F29" s="14" t="s">
        <v>187</v>
      </c>
      <c r="G29" s="14" t="s">
        <v>188</v>
      </c>
      <c r="H29" s="14" t="s">
        <v>84</v>
      </c>
      <c r="I29" s="10">
        <v>2.0</v>
      </c>
      <c r="J29" s="26" t="s">
        <v>119</v>
      </c>
      <c r="K29" s="10" t="s">
        <v>129</v>
      </c>
      <c r="L29" s="14" t="s">
        <v>189</v>
      </c>
      <c r="M29" s="21"/>
    </row>
    <row r="30" ht="15.75" customHeight="1">
      <c r="A30" s="10">
        <v>26.0</v>
      </c>
      <c r="B30" s="12" t="s">
        <v>190</v>
      </c>
      <c r="C30" s="14" t="s">
        <v>46</v>
      </c>
      <c r="D30" s="27" t="s">
        <v>49</v>
      </c>
      <c r="E30" s="14" t="s">
        <v>126</v>
      </c>
      <c r="F30" s="14" t="s">
        <v>191</v>
      </c>
      <c r="G30" s="14" t="s">
        <v>192</v>
      </c>
      <c r="H30" s="14" t="s">
        <v>84</v>
      </c>
      <c r="I30" s="10">
        <v>2.0</v>
      </c>
      <c r="J30" s="23" t="s">
        <v>101</v>
      </c>
      <c r="K30" s="10" t="s">
        <v>129</v>
      </c>
      <c r="L30" s="14" t="s">
        <v>169</v>
      </c>
      <c r="M30" s="21"/>
    </row>
    <row r="31" ht="15.75" customHeight="1">
      <c r="A31" s="10">
        <v>27.0</v>
      </c>
      <c r="B31" s="12" t="s">
        <v>193</v>
      </c>
      <c r="C31" s="14" t="s">
        <v>46</v>
      </c>
      <c r="D31" s="27" t="s">
        <v>49</v>
      </c>
      <c r="E31" s="14" t="s">
        <v>126</v>
      </c>
      <c r="F31" s="14" t="s">
        <v>194</v>
      </c>
      <c r="G31" s="14" t="s">
        <v>195</v>
      </c>
      <c r="H31" s="14" t="s">
        <v>84</v>
      </c>
      <c r="I31" s="10">
        <v>2.0</v>
      </c>
      <c r="J31" s="26" t="s">
        <v>119</v>
      </c>
      <c r="K31" s="10" t="s">
        <v>129</v>
      </c>
      <c r="L31" s="14" t="s">
        <v>169</v>
      </c>
      <c r="M31" s="21"/>
    </row>
    <row r="32" ht="15.75" customHeight="1">
      <c r="A32" s="10">
        <v>28.0</v>
      </c>
      <c r="B32" s="12" t="s">
        <v>197</v>
      </c>
      <c r="C32" s="14" t="s">
        <v>198</v>
      </c>
      <c r="D32" s="27" t="s">
        <v>49</v>
      </c>
      <c r="E32" s="14" t="s">
        <v>109</v>
      </c>
      <c r="F32" s="14" t="s">
        <v>199</v>
      </c>
      <c r="G32" s="14" t="s">
        <v>200</v>
      </c>
      <c r="H32" s="14" t="s">
        <v>112</v>
      </c>
      <c r="I32" s="10">
        <v>4.0</v>
      </c>
      <c r="J32" s="20" t="s">
        <v>39</v>
      </c>
      <c r="K32" s="10" t="s">
        <v>156</v>
      </c>
      <c r="L32" s="14"/>
      <c r="M32" s="21"/>
    </row>
    <row r="33" ht="15.75" customHeight="1">
      <c r="A33" s="10">
        <v>29.0</v>
      </c>
      <c r="B33" s="12" t="s">
        <v>202</v>
      </c>
      <c r="C33" s="14" t="s">
        <v>198</v>
      </c>
      <c r="D33" s="27" t="s">
        <v>49</v>
      </c>
      <c r="E33" s="14" t="s">
        <v>109</v>
      </c>
      <c r="F33" s="14" t="s">
        <v>204</v>
      </c>
      <c r="G33" s="14" t="s">
        <v>206</v>
      </c>
      <c r="H33" s="14" t="s">
        <v>112</v>
      </c>
      <c r="I33" s="10">
        <v>4.0</v>
      </c>
      <c r="J33" s="20" t="s">
        <v>39</v>
      </c>
      <c r="K33" s="10" t="s">
        <v>156</v>
      </c>
      <c r="L33" s="14"/>
      <c r="M33" s="21"/>
    </row>
    <row r="34" ht="15.75" customHeight="1">
      <c r="A34" s="10">
        <v>30.0</v>
      </c>
      <c r="B34" s="12" t="s">
        <v>207</v>
      </c>
      <c r="C34" s="14" t="s">
        <v>198</v>
      </c>
      <c r="D34" s="27" t="s">
        <v>49</v>
      </c>
      <c r="E34" s="14" t="s">
        <v>109</v>
      </c>
      <c r="F34" s="14" t="s">
        <v>208</v>
      </c>
      <c r="G34" s="14" t="s">
        <v>209</v>
      </c>
      <c r="H34" s="14" t="s">
        <v>112</v>
      </c>
      <c r="I34" s="10">
        <v>3.0</v>
      </c>
      <c r="J34" s="20" t="s">
        <v>39</v>
      </c>
      <c r="K34" s="10" t="s">
        <v>156</v>
      </c>
      <c r="L34" s="14"/>
      <c r="M34" s="21"/>
    </row>
    <row r="35" ht="15.75" customHeight="1">
      <c r="A35" s="10">
        <v>31.0</v>
      </c>
      <c r="B35" s="12" t="s">
        <v>210</v>
      </c>
      <c r="C35" s="14" t="s">
        <v>198</v>
      </c>
      <c r="D35" s="27" t="s">
        <v>49</v>
      </c>
      <c r="E35" s="14" t="s">
        <v>109</v>
      </c>
      <c r="F35" s="14" t="s">
        <v>211</v>
      </c>
      <c r="G35" s="14" t="s">
        <v>212</v>
      </c>
      <c r="H35" s="14" t="s">
        <v>112</v>
      </c>
      <c r="I35" s="10">
        <v>4.0</v>
      </c>
      <c r="J35" s="20" t="s">
        <v>39</v>
      </c>
      <c r="K35" s="10" t="s">
        <v>156</v>
      </c>
      <c r="L35" s="14"/>
      <c r="M35" s="21"/>
    </row>
    <row r="36" ht="15.75" customHeight="1">
      <c r="A36" s="10">
        <v>32.0</v>
      </c>
      <c r="B36" s="12" t="s">
        <v>213</v>
      </c>
      <c r="C36" s="14" t="s">
        <v>198</v>
      </c>
      <c r="D36" s="27" t="s">
        <v>49</v>
      </c>
      <c r="E36" s="14" t="s">
        <v>109</v>
      </c>
      <c r="F36" s="14" t="s">
        <v>214</v>
      </c>
      <c r="G36" s="14" t="s">
        <v>215</v>
      </c>
      <c r="H36" s="14" t="s">
        <v>112</v>
      </c>
      <c r="I36" s="10">
        <v>3.0</v>
      </c>
      <c r="J36" s="20" t="s">
        <v>39</v>
      </c>
      <c r="K36" s="10" t="s">
        <v>156</v>
      </c>
      <c r="L36" s="14"/>
      <c r="M36" s="21"/>
    </row>
    <row r="37" ht="15.75" customHeight="1">
      <c r="A37" s="10">
        <v>33.0</v>
      </c>
      <c r="B37" s="12" t="s">
        <v>216</v>
      </c>
      <c r="C37" s="14" t="s">
        <v>198</v>
      </c>
      <c r="D37" s="27" t="s">
        <v>49</v>
      </c>
      <c r="E37" s="14" t="s">
        <v>109</v>
      </c>
      <c r="F37" s="14" t="s">
        <v>217</v>
      </c>
      <c r="G37" s="14" t="s">
        <v>218</v>
      </c>
      <c r="H37" s="14" t="s">
        <v>112</v>
      </c>
      <c r="I37" s="10">
        <v>4.0</v>
      </c>
      <c r="J37" s="20" t="s">
        <v>39</v>
      </c>
      <c r="K37" s="10" t="s">
        <v>156</v>
      </c>
      <c r="L37" s="14"/>
      <c r="M37" s="21"/>
    </row>
    <row r="38" ht="15.75" customHeight="1">
      <c r="A38" s="10">
        <v>34.0</v>
      </c>
      <c r="B38" s="12" t="s">
        <v>219</v>
      </c>
      <c r="C38" s="14" t="s">
        <v>198</v>
      </c>
      <c r="D38" s="27" t="s">
        <v>49</v>
      </c>
      <c r="E38" s="14" t="s">
        <v>109</v>
      </c>
      <c r="F38" s="14" t="s">
        <v>220</v>
      </c>
      <c r="G38" s="14" t="s">
        <v>221</v>
      </c>
      <c r="H38" s="14" t="s">
        <v>112</v>
      </c>
      <c r="I38" s="10">
        <v>3.0</v>
      </c>
      <c r="J38" s="20" t="s">
        <v>39</v>
      </c>
      <c r="K38" s="10" t="s">
        <v>222</v>
      </c>
      <c r="L38" s="14"/>
      <c r="M38" s="21"/>
    </row>
    <row r="39" ht="15.75" customHeight="1">
      <c r="A39" s="10">
        <v>35.0</v>
      </c>
      <c r="B39" s="12" t="s">
        <v>223</v>
      </c>
      <c r="C39" s="14" t="s">
        <v>198</v>
      </c>
      <c r="D39" s="27" t="s">
        <v>49</v>
      </c>
      <c r="E39" s="14" t="s">
        <v>126</v>
      </c>
      <c r="F39" s="14" t="s">
        <v>224</v>
      </c>
      <c r="G39" s="14" t="s">
        <v>225</v>
      </c>
      <c r="H39" s="14" t="s">
        <v>84</v>
      </c>
      <c r="I39" s="10">
        <v>2.0</v>
      </c>
      <c r="J39" s="20" t="s">
        <v>39</v>
      </c>
      <c r="K39" s="10" t="s">
        <v>222</v>
      </c>
      <c r="L39" s="14"/>
      <c r="M39" s="21"/>
    </row>
    <row r="40" ht="15.75" customHeight="1">
      <c r="A40" s="10">
        <v>36.0</v>
      </c>
      <c r="B40" s="12" t="s">
        <v>226</v>
      </c>
      <c r="C40" s="14" t="s">
        <v>198</v>
      </c>
      <c r="D40" s="27" t="s">
        <v>49</v>
      </c>
      <c r="E40" s="14" t="s">
        <v>109</v>
      </c>
      <c r="F40" s="14" t="s">
        <v>227</v>
      </c>
      <c r="G40" s="14" t="s">
        <v>228</v>
      </c>
      <c r="H40" s="14" t="s">
        <v>112</v>
      </c>
      <c r="I40" s="10">
        <v>3.0</v>
      </c>
      <c r="J40" s="20" t="s">
        <v>39</v>
      </c>
      <c r="K40" s="10" t="s">
        <v>222</v>
      </c>
      <c r="L40" s="14" t="s">
        <v>229</v>
      </c>
      <c r="M40" s="21"/>
    </row>
    <row r="41" ht="15.75" customHeight="1">
      <c r="A41" s="10">
        <v>37.0</v>
      </c>
      <c r="B41" s="12" t="s">
        <v>230</v>
      </c>
      <c r="C41" s="14" t="s">
        <v>198</v>
      </c>
      <c r="D41" s="27" t="s">
        <v>49</v>
      </c>
      <c r="E41" s="14" t="s">
        <v>109</v>
      </c>
      <c r="F41" s="14" t="s">
        <v>231</v>
      </c>
      <c r="G41" s="14" t="s">
        <v>232</v>
      </c>
      <c r="H41" s="14" t="s">
        <v>112</v>
      </c>
      <c r="I41" s="10">
        <v>3.0</v>
      </c>
      <c r="J41" s="23" t="s">
        <v>101</v>
      </c>
      <c r="K41" s="10" t="s">
        <v>233</v>
      </c>
      <c r="L41" s="14"/>
      <c r="M41" s="21"/>
    </row>
    <row r="42" ht="15.75" customHeight="1">
      <c r="A42" s="10">
        <v>38.0</v>
      </c>
      <c r="B42" s="12" t="s">
        <v>234</v>
      </c>
      <c r="C42" s="14" t="s">
        <v>198</v>
      </c>
      <c r="D42" s="27" t="s">
        <v>49</v>
      </c>
      <c r="E42" s="14" t="s">
        <v>109</v>
      </c>
      <c r="F42" s="14" t="s">
        <v>235</v>
      </c>
      <c r="G42" s="14" t="s">
        <v>236</v>
      </c>
      <c r="H42" s="14" t="s">
        <v>112</v>
      </c>
      <c r="I42" s="10">
        <v>3.0</v>
      </c>
      <c r="J42" s="20" t="s">
        <v>39</v>
      </c>
      <c r="K42" s="10" t="s">
        <v>233</v>
      </c>
      <c r="L42" s="14" t="s">
        <v>237</v>
      </c>
      <c r="M42" s="21"/>
    </row>
    <row r="43" ht="15.75" customHeight="1">
      <c r="A43" s="10">
        <v>39.0</v>
      </c>
      <c r="B43" s="12" t="s">
        <v>238</v>
      </c>
      <c r="C43" s="14" t="s">
        <v>198</v>
      </c>
      <c r="D43" s="27" t="s">
        <v>49</v>
      </c>
      <c r="E43" s="14" t="s">
        <v>126</v>
      </c>
      <c r="F43" s="14" t="s">
        <v>239</v>
      </c>
      <c r="G43" s="14" t="s">
        <v>240</v>
      </c>
      <c r="H43" s="14" t="s">
        <v>84</v>
      </c>
      <c r="I43" s="10">
        <v>4.0</v>
      </c>
      <c r="J43" s="23" t="s">
        <v>101</v>
      </c>
      <c r="K43" s="10" t="s">
        <v>222</v>
      </c>
      <c r="L43" s="14" t="s">
        <v>241</v>
      </c>
      <c r="M43" s="21"/>
    </row>
    <row r="44" ht="15.75" customHeight="1">
      <c r="A44" s="10">
        <v>40.0</v>
      </c>
      <c r="B44" s="12" t="s">
        <v>242</v>
      </c>
      <c r="C44" s="14" t="s">
        <v>198</v>
      </c>
      <c r="D44" s="27" t="s">
        <v>49</v>
      </c>
      <c r="E44" s="14" t="s">
        <v>109</v>
      </c>
      <c r="F44" s="14" t="s">
        <v>243</v>
      </c>
      <c r="G44" s="14" t="s">
        <v>244</v>
      </c>
      <c r="H44" s="14" t="s">
        <v>112</v>
      </c>
      <c r="I44" s="10">
        <v>3.0</v>
      </c>
      <c r="J44" s="23" t="s">
        <v>101</v>
      </c>
      <c r="K44" s="10" t="s">
        <v>222</v>
      </c>
      <c r="L44" s="14" t="s">
        <v>169</v>
      </c>
      <c r="M44" s="21"/>
    </row>
    <row r="45" ht="15.75" customHeight="1">
      <c r="A45" s="10">
        <v>41.0</v>
      </c>
      <c r="B45" s="12" t="s">
        <v>245</v>
      </c>
      <c r="C45" s="14" t="s">
        <v>198</v>
      </c>
      <c r="D45" s="27" t="s">
        <v>49</v>
      </c>
      <c r="E45" s="14" t="s">
        <v>126</v>
      </c>
      <c r="F45" s="14" t="s">
        <v>246</v>
      </c>
      <c r="G45" s="14" t="s">
        <v>247</v>
      </c>
      <c r="H45" s="14" t="s">
        <v>84</v>
      </c>
      <c r="I45" s="10">
        <v>2.0</v>
      </c>
      <c r="J45" s="23" t="s">
        <v>101</v>
      </c>
      <c r="K45" s="10" t="s">
        <v>222</v>
      </c>
      <c r="L45" s="14" t="s">
        <v>248</v>
      </c>
      <c r="M45" s="21"/>
    </row>
    <row r="46" ht="15.75" customHeight="1">
      <c r="A46" s="10">
        <v>42.0</v>
      </c>
      <c r="B46" s="12" t="s">
        <v>249</v>
      </c>
      <c r="C46" s="14" t="s">
        <v>198</v>
      </c>
      <c r="D46" s="27" t="s">
        <v>49</v>
      </c>
      <c r="E46" s="14" t="s">
        <v>126</v>
      </c>
      <c r="F46" s="14" t="s">
        <v>250</v>
      </c>
      <c r="G46" s="14" t="s">
        <v>251</v>
      </c>
      <c r="H46" s="14" t="s">
        <v>84</v>
      </c>
      <c r="I46" s="10">
        <v>2.0</v>
      </c>
      <c r="J46" s="23" t="s">
        <v>101</v>
      </c>
      <c r="K46" s="10" t="s">
        <v>156</v>
      </c>
      <c r="L46" s="14" t="s">
        <v>169</v>
      </c>
      <c r="M46" s="21"/>
    </row>
    <row r="47" ht="15.75" customHeight="1">
      <c r="A47" s="10">
        <v>43.0</v>
      </c>
      <c r="B47" s="12" t="s">
        <v>252</v>
      </c>
      <c r="C47" s="14" t="s">
        <v>198</v>
      </c>
      <c r="D47" s="27" t="s">
        <v>49</v>
      </c>
      <c r="E47" s="14" t="s">
        <v>109</v>
      </c>
      <c r="F47" s="14" t="s">
        <v>253</v>
      </c>
      <c r="G47" s="14" t="s">
        <v>254</v>
      </c>
      <c r="H47" s="14" t="s">
        <v>84</v>
      </c>
      <c r="I47" s="10">
        <v>3.0</v>
      </c>
      <c r="J47" s="26" t="s">
        <v>119</v>
      </c>
      <c r="K47" s="10" t="s">
        <v>156</v>
      </c>
      <c r="L47" s="14" t="s">
        <v>169</v>
      </c>
      <c r="M47" s="21"/>
    </row>
    <row r="48" ht="15.75" customHeight="1">
      <c r="A48" s="10">
        <v>44.0</v>
      </c>
      <c r="B48" s="12" t="s">
        <v>255</v>
      </c>
      <c r="C48" s="14" t="s">
        <v>198</v>
      </c>
      <c r="D48" s="27" t="s">
        <v>49</v>
      </c>
      <c r="E48" s="14" t="s">
        <v>109</v>
      </c>
      <c r="F48" s="14" t="s">
        <v>256</v>
      </c>
      <c r="G48" s="14" t="s">
        <v>257</v>
      </c>
      <c r="H48" s="14" t="s">
        <v>112</v>
      </c>
      <c r="I48" s="10">
        <v>5.0</v>
      </c>
      <c r="J48" s="31" t="s">
        <v>258</v>
      </c>
      <c r="K48" s="10" t="s">
        <v>233</v>
      </c>
      <c r="L48" s="14" t="s">
        <v>259</v>
      </c>
      <c r="M48" s="21"/>
    </row>
    <row r="49" ht="15.75" customHeight="1">
      <c r="A49" s="10">
        <v>45.0</v>
      </c>
      <c r="B49" s="12" t="s">
        <v>201</v>
      </c>
      <c r="C49" s="14" t="s">
        <v>64</v>
      </c>
      <c r="D49" s="27" t="s">
        <v>49</v>
      </c>
      <c r="E49" s="14" t="s">
        <v>260</v>
      </c>
      <c r="F49" s="14" t="s">
        <v>261</v>
      </c>
      <c r="G49" s="14" t="s">
        <v>262</v>
      </c>
      <c r="H49" s="14" t="s">
        <v>84</v>
      </c>
      <c r="I49" s="10">
        <v>1.0</v>
      </c>
      <c r="J49" s="20" t="s">
        <v>39</v>
      </c>
      <c r="K49" s="10" t="s">
        <v>113</v>
      </c>
      <c r="L49" s="24" t="s">
        <v>263</v>
      </c>
      <c r="M49" s="21"/>
    </row>
    <row r="50" ht="15.75" customHeight="1">
      <c r="A50" s="10">
        <v>46.0</v>
      </c>
      <c r="B50" s="12" t="s">
        <v>264</v>
      </c>
      <c r="C50" s="14" t="s">
        <v>64</v>
      </c>
      <c r="D50" s="27" t="s">
        <v>49</v>
      </c>
      <c r="E50" s="14" t="s">
        <v>260</v>
      </c>
      <c r="F50" s="14" t="s">
        <v>265</v>
      </c>
      <c r="G50" s="14" t="s">
        <v>266</v>
      </c>
      <c r="H50" s="14" t="s">
        <v>84</v>
      </c>
      <c r="I50" s="10">
        <v>2.0</v>
      </c>
      <c r="J50" s="23" t="s">
        <v>101</v>
      </c>
      <c r="K50" s="10" t="s">
        <v>173</v>
      </c>
      <c r="L50" s="14"/>
      <c r="M50" s="21"/>
    </row>
    <row r="51" ht="15.75" customHeight="1">
      <c r="A51" s="10">
        <v>47.0</v>
      </c>
      <c r="B51" s="12" t="s">
        <v>267</v>
      </c>
      <c r="C51" s="14" t="s">
        <v>64</v>
      </c>
      <c r="D51" s="27" t="s">
        <v>49</v>
      </c>
      <c r="E51" s="14" t="s">
        <v>260</v>
      </c>
      <c r="F51" s="14" t="s">
        <v>268</v>
      </c>
      <c r="G51" s="14" t="s">
        <v>269</v>
      </c>
      <c r="H51" s="14" t="s">
        <v>84</v>
      </c>
      <c r="I51" s="10">
        <v>2.0</v>
      </c>
      <c r="J51" s="20" t="s">
        <v>39</v>
      </c>
      <c r="K51" s="10" t="s">
        <v>173</v>
      </c>
      <c r="L51" s="14"/>
      <c r="M51" s="21"/>
    </row>
    <row r="52" ht="15.75" customHeight="1">
      <c r="A52" s="10">
        <v>48.0</v>
      </c>
      <c r="B52" s="12" t="s">
        <v>270</v>
      </c>
      <c r="C52" s="14" t="s">
        <v>64</v>
      </c>
      <c r="D52" s="27" t="s">
        <v>49</v>
      </c>
      <c r="E52" s="14" t="s">
        <v>271</v>
      </c>
      <c r="F52" s="14" t="s">
        <v>272</v>
      </c>
      <c r="G52" s="14" t="s">
        <v>273</v>
      </c>
      <c r="H52" s="14" t="s">
        <v>84</v>
      </c>
      <c r="I52" s="10">
        <v>2.0</v>
      </c>
      <c r="J52" s="20" t="s">
        <v>39</v>
      </c>
      <c r="K52" s="10" t="s">
        <v>173</v>
      </c>
      <c r="L52" s="14"/>
      <c r="M52" s="21"/>
    </row>
    <row r="53" ht="15.75" customHeight="1">
      <c r="A53" s="10">
        <v>49.0</v>
      </c>
      <c r="B53" s="12" t="s">
        <v>274</v>
      </c>
      <c r="C53" s="14" t="s">
        <v>64</v>
      </c>
      <c r="D53" s="27" t="s">
        <v>49</v>
      </c>
      <c r="E53" s="14" t="s">
        <v>271</v>
      </c>
      <c r="F53" s="14" t="s">
        <v>275</v>
      </c>
      <c r="G53" s="14" t="s">
        <v>276</v>
      </c>
      <c r="H53" s="14" t="s">
        <v>84</v>
      </c>
      <c r="I53" s="10">
        <v>4.0</v>
      </c>
      <c r="J53" s="23" t="s">
        <v>101</v>
      </c>
      <c r="K53" s="10" t="s">
        <v>173</v>
      </c>
      <c r="L53" s="14" t="s">
        <v>277</v>
      </c>
      <c r="M53" s="21"/>
    </row>
    <row r="54" ht="15.75" customHeight="1">
      <c r="A54" s="10">
        <v>50.0</v>
      </c>
      <c r="B54" s="12" t="s">
        <v>278</v>
      </c>
      <c r="C54" s="14" t="s">
        <v>64</v>
      </c>
      <c r="D54" s="27" t="s">
        <v>49</v>
      </c>
      <c r="E54" s="14" t="s">
        <v>271</v>
      </c>
      <c r="F54" s="14" t="s">
        <v>279</v>
      </c>
      <c r="G54" s="14" t="s">
        <v>280</v>
      </c>
      <c r="H54" s="14" t="s">
        <v>84</v>
      </c>
      <c r="I54" s="10">
        <v>1.0</v>
      </c>
      <c r="J54" s="23" t="s">
        <v>101</v>
      </c>
      <c r="K54" s="10" t="s">
        <v>173</v>
      </c>
      <c r="L54" s="14"/>
      <c r="M54" s="21"/>
    </row>
    <row r="55" ht="15.75" customHeight="1">
      <c r="A55" s="10">
        <v>51.0</v>
      </c>
      <c r="B55" s="12" t="s">
        <v>281</v>
      </c>
      <c r="C55" s="14" t="s">
        <v>64</v>
      </c>
      <c r="D55" s="27" t="s">
        <v>49</v>
      </c>
      <c r="E55" s="14" t="s">
        <v>260</v>
      </c>
      <c r="F55" s="14" t="s">
        <v>282</v>
      </c>
      <c r="G55" s="14" t="s">
        <v>283</v>
      </c>
      <c r="H55" s="14" t="s">
        <v>84</v>
      </c>
      <c r="I55" s="10">
        <v>3.0</v>
      </c>
      <c r="J55" s="23" t="s">
        <v>101</v>
      </c>
      <c r="K55" s="10" t="s">
        <v>284</v>
      </c>
      <c r="L55" s="14"/>
      <c r="M55" s="21"/>
    </row>
    <row r="56" ht="15.75" customHeight="1">
      <c r="A56" s="10">
        <v>52.0</v>
      </c>
      <c r="B56" s="12" t="s">
        <v>285</v>
      </c>
      <c r="C56" s="14" t="s">
        <v>64</v>
      </c>
      <c r="D56" s="27" t="s">
        <v>49</v>
      </c>
      <c r="E56" s="14" t="s">
        <v>260</v>
      </c>
      <c r="F56" s="14" t="s">
        <v>286</v>
      </c>
      <c r="G56" s="14" t="s">
        <v>287</v>
      </c>
      <c r="H56" s="14" t="s">
        <v>84</v>
      </c>
      <c r="I56" s="10">
        <v>3.0</v>
      </c>
      <c r="J56" s="23" t="s">
        <v>101</v>
      </c>
      <c r="K56" s="10" t="s">
        <v>284</v>
      </c>
      <c r="L56" s="14"/>
      <c r="M56" s="21"/>
    </row>
    <row r="57" ht="15.75" customHeight="1">
      <c r="A57" s="10">
        <v>53.0</v>
      </c>
      <c r="B57" s="12" t="s">
        <v>288</v>
      </c>
      <c r="C57" s="14" t="s">
        <v>64</v>
      </c>
      <c r="D57" s="27" t="s">
        <v>49</v>
      </c>
      <c r="E57" s="14" t="s">
        <v>260</v>
      </c>
      <c r="F57" s="14" t="s">
        <v>289</v>
      </c>
      <c r="G57" s="14" t="s">
        <v>290</v>
      </c>
      <c r="H57" s="14" t="s">
        <v>84</v>
      </c>
      <c r="I57" s="10">
        <v>2.0</v>
      </c>
      <c r="J57" s="26" t="s">
        <v>119</v>
      </c>
      <c r="K57" s="10" t="s">
        <v>284</v>
      </c>
      <c r="L57" s="14" t="s">
        <v>291</v>
      </c>
      <c r="M57" s="21"/>
    </row>
    <row r="58" ht="15.75" customHeight="1">
      <c r="A58" s="10">
        <v>54.0</v>
      </c>
      <c r="B58" s="12" t="s">
        <v>292</v>
      </c>
      <c r="C58" s="14" t="s">
        <v>64</v>
      </c>
      <c r="D58" s="27" t="s">
        <v>49</v>
      </c>
      <c r="E58" s="14" t="s">
        <v>271</v>
      </c>
      <c r="F58" s="14" t="s">
        <v>293</v>
      </c>
      <c r="G58" s="14" t="s">
        <v>294</v>
      </c>
      <c r="H58" s="14" t="s">
        <v>84</v>
      </c>
      <c r="I58" s="10">
        <v>2.0</v>
      </c>
      <c r="J58" s="23" t="s">
        <v>101</v>
      </c>
      <c r="K58" s="10" t="s">
        <v>295</v>
      </c>
      <c r="L58" s="24" t="s">
        <v>296</v>
      </c>
      <c r="M58" s="21"/>
    </row>
    <row r="59" ht="15.75" customHeight="1">
      <c r="A59" s="10">
        <v>55.0</v>
      </c>
      <c r="B59" s="12" t="s">
        <v>297</v>
      </c>
      <c r="C59" s="14" t="s">
        <v>64</v>
      </c>
      <c r="D59" s="27" t="s">
        <v>49</v>
      </c>
      <c r="E59" s="14" t="s">
        <v>271</v>
      </c>
      <c r="F59" s="14" t="s">
        <v>298</v>
      </c>
      <c r="G59" s="14" t="s">
        <v>299</v>
      </c>
      <c r="H59" s="14" t="s">
        <v>84</v>
      </c>
      <c r="I59" s="10">
        <v>2.0</v>
      </c>
      <c r="J59" s="23" t="s">
        <v>101</v>
      </c>
      <c r="K59" s="10" t="s">
        <v>173</v>
      </c>
      <c r="L59" s="14" t="s">
        <v>169</v>
      </c>
      <c r="M59" s="21"/>
    </row>
    <row r="60" ht="15.75" customHeight="1">
      <c r="A60" s="10">
        <v>56.0</v>
      </c>
      <c r="B60" s="12" t="s">
        <v>300</v>
      </c>
      <c r="C60" s="14" t="s">
        <v>64</v>
      </c>
      <c r="D60" s="27" t="s">
        <v>49</v>
      </c>
      <c r="E60" s="14" t="s">
        <v>260</v>
      </c>
      <c r="F60" s="14" t="s">
        <v>301</v>
      </c>
      <c r="G60" s="14" t="s">
        <v>302</v>
      </c>
      <c r="H60" s="14" t="s">
        <v>84</v>
      </c>
      <c r="I60" s="10">
        <v>2.0</v>
      </c>
      <c r="J60" s="26" t="s">
        <v>119</v>
      </c>
      <c r="K60" s="10" t="s">
        <v>284</v>
      </c>
      <c r="L60" s="14" t="s">
        <v>169</v>
      </c>
      <c r="M60" s="21"/>
    </row>
    <row r="61" ht="15.75" customHeight="1">
      <c r="A61" s="10">
        <v>57.0</v>
      </c>
      <c r="B61" s="12" t="s">
        <v>203</v>
      </c>
      <c r="C61" s="14" t="s">
        <v>64</v>
      </c>
      <c r="D61" s="27" t="s">
        <v>49</v>
      </c>
      <c r="E61" s="14" t="s">
        <v>109</v>
      </c>
      <c r="F61" s="14" t="s">
        <v>303</v>
      </c>
      <c r="G61" s="14" t="s">
        <v>304</v>
      </c>
      <c r="H61" s="14" t="s">
        <v>112</v>
      </c>
      <c r="I61" s="10">
        <v>2.0</v>
      </c>
      <c r="J61" s="23" t="s">
        <v>101</v>
      </c>
      <c r="K61" s="10" t="s">
        <v>41</v>
      </c>
      <c r="L61" s="14" t="s">
        <v>305</v>
      </c>
      <c r="M61" s="21"/>
    </row>
    <row r="62" ht="15.75" customHeight="1">
      <c r="A62" s="10">
        <v>58.0</v>
      </c>
      <c r="B62" s="12" t="s">
        <v>205</v>
      </c>
      <c r="C62" s="14" t="s">
        <v>64</v>
      </c>
      <c r="D62" s="27" t="s">
        <v>49</v>
      </c>
      <c r="E62" s="14" t="s">
        <v>109</v>
      </c>
      <c r="F62" s="14" t="s">
        <v>306</v>
      </c>
      <c r="G62" s="14" t="s">
        <v>307</v>
      </c>
      <c r="H62" s="14" t="s">
        <v>112</v>
      </c>
      <c r="I62" s="10">
        <v>3.0</v>
      </c>
      <c r="J62" s="23" t="s">
        <v>101</v>
      </c>
      <c r="K62" s="10" t="s">
        <v>41</v>
      </c>
      <c r="L62" s="14" t="s">
        <v>308</v>
      </c>
      <c r="M62" s="21"/>
    </row>
    <row r="63" ht="15.75" customHeight="1">
      <c r="A63" s="10">
        <v>59.0</v>
      </c>
      <c r="B63" s="12" t="s">
        <v>309</v>
      </c>
      <c r="C63" s="14" t="s">
        <v>64</v>
      </c>
      <c r="D63" s="27" t="s">
        <v>49</v>
      </c>
      <c r="E63" s="14" t="s">
        <v>260</v>
      </c>
      <c r="F63" s="14" t="s">
        <v>310</v>
      </c>
      <c r="G63" s="14" t="s">
        <v>311</v>
      </c>
      <c r="H63" s="14" t="s">
        <v>84</v>
      </c>
      <c r="I63" s="10">
        <v>2.0</v>
      </c>
      <c r="J63" s="26" t="s">
        <v>119</v>
      </c>
      <c r="K63" s="10" t="s">
        <v>173</v>
      </c>
      <c r="L63" s="14" t="s">
        <v>312</v>
      </c>
      <c r="M63" s="21"/>
    </row>
    <row r="64" ht="15.75" customHeight="1">
      <c r="A64" s="10">
        <v>60.0</v>
      </c>
      <c r="B64" s="12" t="s">
        <v>313</v>
      </c>
      <c r="C64" s="14" t="s">
        <v>64</v>
      </c>
      <c r="D64" s="27" t="s">
        <v>49</v>
      </c>
      <c r="E64" s="14" t="s">
        <v>271</v>
      </c>
      <c r="F64" s="14" t="s">
        <v>314</v>
      </c>
      <c r="G64" s="14" t="s">
        <v>315</v>
      </c>
      <c r="H64" s="14" t="s">
        <v>84</v>
      </c>
      <c r="I64" s="10">
        <v>2.0</v>
      </c>
      <c r="J64" s="23" t="s">
        <v>101</v>
      </c>
      <c r="K64" s="10" t="s">
        <v>316</v>
      </c>
      <c r="L64" s="24" t="s">
        <v>317</v>
      </c>
      <c r="M64" s="21"/>
    </row>
    <row r="65" ht="15.75" customHeight="1">
      <c r="A65" s="10">
        <v>61.0</v>
      </c>
      <c r="B65" s="12" t="s">
        <v>318</v>
      </c>
      <c r="C65" s="14" t="s">
        <v>64</v>
      </c>
      <c r="D65" s="27" t="s">
        <v>49</v>
      </c>
      <c r="E65" s="14" t="s">
        <v>271</v>
      </c>
      <c r="F65" s="14" t="s">
        <v>319</v>
      </c>
      <c r="G65" s="14" t="s">
        <v>320</v>
      </c>
      <c r="H65" s="14" t="s">
        <v>84</v>
      </c>
      <c r="I65" s="10">
        <v>2.0</v>
      </c>
      <c r="J65" s="23" t="s">
        <v>101</v>
      </c>
      <c r="K65" s="10" t="s">
        <v>321</v>
      </c>
      <c r="L65" s="24" t="s">
        <v>322</v>
      </c>
      <c r="M65" s="21"/>
    </row>
    <row r="66" ht="15.75" customHeight="1">
      <c r="A66" s="10">
        <v>62.0</v>
      </c>
      <c r="B66" s="12" t="s">
        <v>323</v>
      </c>
      <c r="C66" s="14" t="s">
        <v>64</v>
      </c>
      <c r="D66" s="27" t="s">
        <v>49</v>
      </c>
      <c r="E66" s="14" t="s">
        <v>271</v>
      </c>
      <c r="F66" s="14" t="s">
        <v>324</v>
      </c>
      <c r="G66" s="14" t="s">
        <v>325</v>
      </c>
      <c r="H66" s="14" t="s">
        <v>84</v>
      </c>
      <c r="I66" s="10">
        <v>1.0</v>
      </c>
      <c r="J66" s="26" t="s">
        <v>119</v>
      </c>
      <c r="K66" s="10" t="s">
        <v>173</v>
      </c>
      <c r="L66" s="14" t="s">
        <v>169</v>
      </c>
      <c r="M66" s="21"/>
    </row>
    <row r="67" ht="15.75" customHeight="1">
      <c r="A67" s="10">
        <v>63.0</v>
      </c>
      <c r="B67" s="12" t="s">
        <v>326</v>
      </c>
      <c r="C67" s="14" t="s">
        <v>64</v>
      </c>
      <c r="D67" s="27" t="s">
        <v>49</v>
      </c>
      <c r="E67" s="14" t="s">
        <v>260</v>
      </c>
      <c r="F67" s="14" t="s">
        <v>327</v>
      </c>
      <c r="G67" s="14" t="s">
        <v>328</v>
      </c>
      <c r="H67" s="14" t="s">
        <v>84</v>
      </c>
      <c r="I67" s="10">
        <v>3.0</v>
      </c>
      <c r="J67" s="26" t="s">
        <v>119</v>
      </c>
      <c r="K67" s="10" t="s">
        <v>284</v>
      </c>
      <c r="L67" s="14" t="s">
        <v>329</v>
      </c>
      <c r="M67" s="21"/>
    </row>
    <row r="68" ht="15.75" customHeight="1">
      <c r="A68" s="10">
        <v>64.0</v>
      </c>
      <c r="B68" s="12" t="s">
        <v>330</v>
      </c>
      <c r="C68" s="14" t="s">
        <v>64</v>
      </c>
      <c r="D68" s="27" t="s">
        <v>49</v>
      </c>
      <c r="E68" s="14" t="s">
        <v>260</v>
      </c>
      <c r="F68" s="14" t="s">
        <v>331</v>
      </c>
      <c r="G68" s="14" t="s">
        <v>332</v>
      </c>
      <c r="H68" s="14" t="s">
        <v>84</v>
      </c>
      <c r="I68" s="10">
        <v>2.0</v>
      </c>
      <c r="J68" s="26" t="s">
        <v>119</v>
      </c>
      <c r="K68" s="10" t="s">
        <v>284</v>
      </c>
      <c r="L68" s="14" t="s">
        <v>169</v>
      </c>
      <c r="M68" s="21"/>
    </row>
    <row r="69" ht="15.75" customHeight="1">
      <c r="A69" s="10">
        <v>65.0</v>
      </c>
      <c r="B69" s="12" t="s">
        <v>333</v>
      </c>
      <c r="C69" s="14" t="s">
        <v>64</v>
      </c>
      <c r="D69" s="27" t="s">
        <v>49</v>
      </c>
      <c r="E69" s="14" t="s">
        <v>271</v>
      </c>
      <c r="F69" s="14" t="s">
        <v>334</v>
      </c>
      <c r="G69" s="14" t="s">
        <v>335</v>
      </c>
      <c r="H69" s="14" t="s">
        <v>84</v>
      </c>
      <c r="I69" s="10">
        <v>3.0</v>
      </c>
      <c r="J69" s="23" t="s">
        <v>101</v>
      </c>
      <c r="K69" s="10" t="s">
        <v>173</v>
      </c>
      <c r="L69" s="14" t="s">
        <v>169</v>
      </c>
      <c r="M69" s="21"/>
    </row>
    <row r="70" ht="15.75" customHeight="1">
      <c r="A70" s="10">
        <v>66.0</v>
      </c>
      <c r="B70" s="12" t="s">
        <v>336</v>
      </c>
      <c r="C70" s="14" t="s">
        <v>64</v>
      </c>
      <c r="D70" s="27" t="s">
        <v>49</v>
      </c>
      <c r="E70" s="14" t="s">
        <v>271</v>
      </c>
      <c r="F70" s="14" t="s">
        <v>337</v>
      </c>
      <c r="G70" s="14" t="s">
        <v>338</v>
      </c>
      <c r="H70" s="14" t="s">
        <v>84</v>
      </c>
      <c r="I70" s="10">
        <v>1.0</v>
      </c>
      <c r="J70" s="26" t="s">
        <v>119</v>
      </c>
      <c r="K70" s="10" t="s">
        <v>173</v>
      </c>
      <c r="L70" s="14" t="s">
        <v>169</v>
      </c>
      <c r="M70" s="21"/>
    </row>
    <row r="71" ht="15.75" customHeight="1">
      <c r="A71" s="10">
        <v>67.0</v>
      </c>
      <c r="B71" s="12" t="s">
        <v>339</v>
      </c>
      <c r="C71" s="14" t="s">
        <v>71</v>
      </c>
      <c r="D71" s="16" t="s">
        <v>72</v>
      </c>
      <c r="E71" s="14" t="s">
        <v>109</v>
      </c>
      <c r="F71" s="14" t="s">
        <v>340</v>
      </c>
      <c r="G71" s="14" t="s">
        <v>341</v>
      </c>
      <c r="H71" s="14" t="s">
        <v>112</v>
      </c>
      <c r="I71" s="10">
        <v>3.0</v>
      </c>
      <c r="J71" s="20" t="s">
        <v>39</v>
      </c>
      <c r="K71" s="10" t="s">
        <v>222</v>
      </c>
      <c r="L71" s="14" t="s">
        <v>342</v>
      </c>
      <c r="M71" s="21"/>
    </row>
    <row r="72" ht="15.75" customHeight="1">
      <c r="A72" s="10">
        <v>68.0</v>
      </c>
      <c r="B72" s="12" t="s">
        <v>343</v>
      </c>
      <c r="C72" s="14" t="s">
        <v>71</v>
      </c>
      <c r="D72" s="16" t="s">
        <v>72</v>
      </c>
      <c r="E72" s="14" t="s">
        <v>126</v>
      </c>
      <c r="F72" s="14" t="s">
        <v>344</v>
      </c>
      <c r="G72" s="14" t="s">
        <v>345</v>
      </c>
      <c r="H72" s="14" t="s">
        <v>112</v>
      </c>
      <c r="I72" s="10">
        <v>2.0</v>
      </c>
      <c r="J72" s="23" t="s">
        <v>101</v>
      </c>
      <c r="K72" s="10" t="s">
        <v>151</v>
      </c>
      <c r="L72" s="24" t="s">
        <v>346</v>
      </c>
      <c r="M72" s="21"/>
    </row>
    <row r="73" ht="15.75" customHeight="1">
      <c r="A73" s="10">
        <v>69.0</v>
      </c>
      <c r="B73" s="12" t="s">
        <v>347</v>
      </c>
      <c r="C73" s="14" t="s">
        <v>71</v>
      </c>
      <c r="D73" s="16" t="s">
        <v>72</v>
      </c>
      <c r="E73" s="14" t="s">
        <v>109</v>
      </c>
      <c r="F73" s="14" t="s">
        <v>348</v>
      </c>
      <c r="G73" s="14" t="s">
        <v>349</v>
      </c>
      <c r="H73" s="14" t="s">
        <v>112</v>
      </c>
      <c r="I73" s="10">
        <v>2.0</v>
      </c>
      <c r="J73" s="23" t="s">
        <v>101</v>
      </c>
      <c r="K73" s="10" t="s">
        <v>350</v>
      </c>
      <c r="L73" s="14"/>
      <c r="M73" s="21"/>
    </row>
    <row r="74" ht="15.75" customHeight="1">
      <c r="A74" s="10">
        <v>70.0</v>
      </c>
      <c r="B74" s="12" t="s">
        <v>351</v>
      </c>
      <c r="C74" s="14" t="s">
        <v>71</v>
      </c>
      <c r="D74" s="16" t="s">
        <v>72</v>
      </c>
      <c r="E74" s="14" t="s">
        <v>109</v>
      </c>
      <c r="F74" s="14" t="s">
        <v>352</v>
      </c>
      <c r="G74" s="14" t="s">
        <v>353</v>
      </c>
      <c r="H74" s="14" t="s">
        <v>112</v>
      </c>
      <c r="I74" s="10">
        <v>2.0</v>
      </c>
      <c r="J74" s="23" t="s">
        <v>101</v>
      </c>
      <c r="K74" s="10" t="s">
        <v>350</v>
      </c>
      <c r="L74" s="14"/>
      <c r="M74" s="21"/>
    </row>
    <row r="75" ht="15.75" customHeight="1">
      <c r="A75" s="10">
        <v>71.0</v>
      </c>
      <c r="B75" s="12" t="s">
        <v>354</v>
      </c>
      <c r="C75" s="14" t="s">
        <v>71</v>
      </c>
      <c r="D75" s="16" t="s">
        <v>72</v>
      </c>
      <c r="E75" s="14" t="s">
        <v>109</v>
      </c>
      <c r="F75" s="14" t="s">
        <v>355</v>
      </c>
      <c r="G75" s="14" t="s">
        <v>356</v>
      </c>
      <c r="H75" s="14" t="s">
        <v>112</v>
      </c>
      <c r="I75" s="10">
        <v>3.0</v>
      </c>
      <c r="J75" s="26" t="s">
        <v>119</v>
      </c>
      <c r="K75" s="10" t="s">
        <v>350</v>
      </c>
      <c r="L75" s="14" t="s">
        <v>357</v>
      </c>
      <c r="M75" s="21"/>
    </row>
    <row r="76" ht="15.75" customHeight="1">
      <c r="A76" s="10">
        <v>72.0</v>
      </c>
      <c r="B76" s="12" t="s">
        <v>358</v>
      </c>
      <c r="C76" s="14" t="s">
        <v>71</v>
      </c>
      <c r="D76" s="16" t="s">
        <v>72</v>
      </c>
      <c r="E76" s="14" t="s">
        <v>109</v>
      </c>
      <c r="F76" s="14" t="s">
        <v>359</v>
      </c>
      <c r="G76" s="14" t="s">
        <v>360</v>
      </c>
      <c r="H76" s="14" t="s">
        <v>112</v>
      </c>
      <c r="I76" s="10">
        <v>4.0</v>
      </c>
      <c r="J76" s="31" t="s">
        <v>258</v>
      </c>
      <c r="K76" s="10" t="s">
        <v>350</v>
      </c>
      <c r="L76" s="14" t="s">
        <v>361</v>
      </c>
      <c r="M76" s="21"/>
    </row>
    <row r="77" ht="15.75" customHeight="1">
      <c r="A77" s="10">
        <v>73.0</v>
      </c>
      <c r="B77" s="12" t="s">
        <v>362</v>
      </c>
      <c r="C77" s="14" t="s">
        <v>71</v>
      </c>
      <c r="D77" s="16" t="s">
        <v>72</v>
      </c>
      <c r="E77" s="14" t="s">
        <v>126</v>
      </c>
      <c r="F77" s="14" t="s">
        <v>363</v>
      </c>
      <c r="G77" s="14" t="s">
        <v>364</v>
      </c>
      <c r="H77" s="14" t="s">
        <v>84</v>
      </c>
      <c r="I77" s="10">
        <v>2.0</v>
      </c>
      <c r="J77" s="26" t="s">
        <v>119</v>
      </c>
      <c r="K77" s="10" t="s">
        <v>350</v>
      </c>
      <c r="L77" s="14"/>
      <c r="M77" s="21"/>
    </row>
    <row r="78" ht="15.75" customHeight="1">
      <c r="A78" s="10">
        <v>74.0</v>
      </c>
      <c r="B78" s="12" t="s">
        <v>365</v>
      </c>
      <c r="C78" s="14" t="s">
        <v>71</v>
      </c>
      <c r="D78" s="16" t="s">
        <v>72</v>
      </c>
      <c r="E78" s="14" t="s">
        <v>260</v>
      </c>
      <c r="F78" s="14" t="s">
        <v>366</v>
      </c>
      <c r="G78" s="14" t="s">
        <v>367</v>
      </c>
      <c r="H78" s="14" t="s">
        <v>84</v>
      </c>
      <c r="I78" s="10">
        <v>2.0</v>
      </c>
      <c r="J78" s="26" t="s">
        <v>119</v>
      </c>
      <c r="K78" s="10" t="s">
        <v>350</v>
      </c>
      <c r="L78" s="14" t="s">
        <v>169</v>
      </c>
      <c r="M78" s="21"/>
    </row>
    <row r="79" ht="15.75" customHeight="1">
      <c r="A79" s="10">
        <v>75.0</v>
      </c>
      <c r="B79" s="12" t="s">
        <v>368</v>
      </c>
      <c r="C79" s="14" t="s">
        <v>71</v>
      </c>
      <c r="D79" s="16" t="s">
        <v>72</v>
      </c>
      <c r="E79" s="14" t="s">
        <v>260</v>
      </c>
      <c r="F79" s="14" t="s">
        <v>369</v>
      </c>
      <c r="G79" s="14" t="s">
        <v>370</v>
      </c>
      <c r="H79" s="14" t="s">
        <v>84</v>
      </c>
      <c r="I79" s="10">
        <v>2.0</v>
      </c>
      <c r="J79" s="26" t="s">
        <v>119</v>
      </c>
      <c r="K79" s="10" t="s">
        <v>350</v>
      </c>
      <c r="L79" s="14" t="s">
        <v>169</v>
      </c>
      <c r="M79" s="21"/>
    </row>
    <row r="80" ht="15.75" customHeight="1">
      <c r="A80" s="10">
        <v>76.0</v>
      </c>
      <c r="B80" s="12" t="s">
        <v>371</v>
      </c>
      <c r="C80" s="14" t="s">
        <v>71</v>
      </c>
      <c r="D80" s="16" t="s">
        <v>72</v>
      </c>
      <c r="E80" s="14" t="s">
        <v>77</v>
      </c>
      <c r="F80" s="14" t="s">
        <v>372</v>
      </c>
      <c r="G80" s="14" t="s">
        <v>373</v>
      </c>
      <c r="H80" s="14" t="s">
        <v>84</v>
      </c>
      <c r="I80" s="10">
        <v>3.0</v>
      </c>
      <c r="J80" s="23" t="s">
        <v>101</v>
      </c>
      <c r="K80" s="10" t="s">
        <v>374</v>
      </c>
      <c r="L80" s="24" t="s">
        <v>375</v>
      </c>
      <c r="M80" s="21"/>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80"/>
  <mergeCells count="2">
    <mergeCell ref="A1:M1"/>
    <mergeCell ref="A2:M2"/>
  </mergeCells>
  <dataValidations>
    <dataValidation type="list" allowBlank="1" sqref="I5:I80">
      <formula1>"1,2,3,4,5"</formula1>
    </dataValidation>
    <dataValidation type="list" allowBlank="1" sqref="M5:M80">
      <formula1>"Đức,Nam,Hải,Thăng"</formula1>
    </dataValidation>
    <dataValidation type="list" allowBlank="1" sqref="J5:J80">
      <formula1>"Bắt buộc,Nên có,Có thể,Cắt nếu cần"</formula1>
    </dataValidation>
    <dataValidation type="list" allowBlank="1" sqref="D5:D80">
      <formula1>"Lõi,Bổ trợ"</formula1>
    </dataValidation>
    <dataValidation type="list" allowBlank="1" sqref="H5:H80">
      <formula1>"Tính năng người dùng,Tác vụ kỹ thuật"</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22.0"/>
    <col customWidth="1" min="3" max="3" width="20.0"/>
    <col customWidth="1" min="4" max="4" width="45.0"/>
    <col customWidth="1" min="5" max="26" width="8.71"/>
  </cols>
  <sheetData>
    <row r="1">
      <c r="A1" s="1" t="s">
        <v>0</v>
      </c>
    </row>
    <row r="2">
      <c r="A2" s="2" t="s">
        <v>3</v>
      </c>
    </row>
    <row r="4">
      <c r="A4" s="3" t="s">
        <v>7</v>
      </c>
      <c r="B4" s="3" t="s">
        <v>11</v>
      </c>
      <c r="C4" s="3" t="s">
        <v>12</v>
      </c>
      <c r="D4" s="3" t="s">
        <v>13</v>
      </c>
    </row>
    <row r="5">
      <c r="A5" s="5" t="s">
        <v>15</v>
      </c>
      <c r="B5" s="13">
        <f>COUNTIF('Use case chi tiet'!$M$5:$M$80, A5)</f>
        <v>1</v>
      </c>
      <c r="C5" s="13">
        <f>SUMIF('Use case chi tiet'!$M$5:$M$80, A5, 'Use case chi tiet'!$I$5:$I$80)</f>
        <v>3</v>
      </c>
      <c r="D5" s="17"/>
    </row>
    <row r="6">
      <c r="A6" s="5" t="s">
        <v>83</v>
      </c>
      <c r="B6" s="13">
        <f>COUNTIF('Use case chi tiet'!$M$5:$M$80, A6)</f>
        <v>0</v>
      </c>
      <c r="C6" s="13">
        <f>SUMIF('Use case chi tiet'!$M$5:$M$80, A6, 'Use case chi tiet'!$I$5:$I$80)</f>
        <v>0</v>
      </c>
      <c r="D6" s="17"/>
    </row>
    <row r="7">
      <c r="A7" s="5" t="s">
        <v>90</v>
      </c>
      <c r="B7" s="13">
        <f>COUNTIF('Use case chi tiet'!$M$5:$M$80, A7)</f>
        <v>0</v>
      </c>
      <c r="C7" s="13">
        <f>SUMIF('Use case chi tiet'!$M$5:$M$80, A7, 'Use case chi tiet'!$I$5:$I$80)</f>
        <v>0</v>
      </c>
      <c r="D7" s="17"/>
    </row>
    <row r="8">
      <c r="A8" s="5" t="s">
        <v>94</v>
      </c>
      <c r="B8" s="13">
        <f>COUNTIF('Use case chi tiet'!$M$5:$M$80, A8)</f>
        <v>0</v>
      </c>
      <c r="C8" s="13">
        <f>SUMIF('Use case chi tiet'!$M$5:$M$80, A8, 'Use case chi tiet'!$I$5:$I$80)</f>
        <v>0</v>
      </c>
      <c r="D8" s="17"/>
    </row>
    <row r="9">
      <c r="A9" s="25" t="s">
        <v>107</v>
      </c>
      <c r="B9" s="25">
        <f t="shared" ref="B9:C9" si="1">SUM(B5:B8)</f>
        <v>1</v>
      </c>
      <c r="C9" s="25">
        <f t="shared" si="1"/>
        <v>3</v>
      </c>
      <c r="D9" s="17"/>
    </row>
    <row r="10">
      <c r="A10" s="17" t="s">
        <v>115</v>
      </c>
      <c r="B10" s="17">
        <f>COUNTBLANK('Use case chi tiet'!$M$5:$M$80)</f>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55.0"/>
    <col customWidth="1" min="3" max="3" width="45.0"/>
    <col customWidth="1" min="4" max="26" width="8.71"/>
  </cols>
  <sheetData>
    <row r="1">
      <c r="A1" s="1" t="s">
        <v>6</v>
      </c>
    </row>
    <row r="3">
      <c r="A3" s="4" t="s">
        <v>8</v>
      </c>
    </row>
    <row r="4">
      <c r="A4" s="6" t="s">
        <v>17</v>
      </c>
      <c r="B4" s="6" t="s">
        <v>21</v>
      </c>
      <c r="C4" s="6" t="s">
        <v>22</v>
      </c>
    </row>
    <row r="5">
      <c r="A5" s="8" t="s">
        <v>24</v>
      </c>
      <c r="B5" s="8" t="s">
        <v>28</v>
      </c>
      <c r="C5" s="8" t="s">
        <v>31</v>
      </c>
    </row>
    <row r="6">
      <c r="A6" s="8" t="s">
        <v>33</v>
      </c>
      <c r="B6" s="8" t="s">
        <v>34</v>
      </c>
      <c r="C6" s="8" t="s">
        <v>36</v>
      </c>
    </row>
    <row r="7">
      <c r="A7" s="8" t="s">
        <v>38</v>
      </c>
      <c r="B7" s="8" t="s">
        <v>40</v>
      </c>
      <c r="C7" s="8" t="s">
        <v>42</v>
      </c>
    </row>
    <row r="8">
      <c r="A8" s="8" t="s">
        <v>45</v>
      </c>
      <c r="B8" s="8" t="s">
        <v>47</v>
      </c>
      <c r="C8" s="8" t="s">
        <v>48</v>
      </c>
    </row>
    <row r="9">
      <c r="A9" s="8" t="s">
        <v>51</v>
      </c>
      <c r="B9" s="8" t="s">
        <v>52</v>
      </c>
      <c r="C9" s="8" t="s">
        <v>53</v>
      </c>
    </row>
    <row r="12">
      <c r="A12" s="4" t="s">
        <v>55</v>
      </c>
    </row>
    <row r="13">
      <c r="A13" s="6" t="s">
        <v>17</v>
      </c>
      <c r="B13" s="6" t="s">
        <v>22</v>
      </c>
    </row>
    <row r="14">
      <c r="A14" s="8" t="s">
        <v>58</v>
      </c>
      <c r="B14" s="8" t="s">
        <v>59</v>
      </c>
    </row>
    <row r="15">
      <c r="A15" s="8" t="s">
        <v>61</v>
      </c>
      <c r="B15" s="8" t="s">
        <v>63</v>
      </c>
    </row>
    <row r="16">
      <c r="A16" s="8" t="s">
        <v>65</v>
      </c>
      <c r="B16" s="8" t="s">
        <v>66</v>
      </c>
    </row>
    <row r="17">
      <c r="A17" s="15" t="s">
        <v>70</v>
      </c>
      <c r="B17" s="8" t="s">
        <v>76</v>
      </c>
    </row>
    <row r="20">
      <c r="A20" s="4" t="s">
        <v>79</v>
      </c>
    </row>
    <row r="21" ht="30.0" customHeight="1">
      <c r="A21" s="19" t="s">
        <v>82</v>
      </c>
    </row>
    <row r="22" ht="30.0" customHeight="1">
      <c r="A22" s="19" t="s">
        <v>85</v>
      </c>
    </row>
    <row r="23" ht="30.0" customHeight="1">
      <c r="A23" s="19" t="s">
        <v>86</v>
      </c>
    </row>
    <row r="24" ht="30.0" customHeight="1">
      <c r="A24" s="19" t="s">
        <v>87</v>
      </c>
    </row>
    <row r="25" ht="30.0" customHeight="1">
      <c r="A25" s="19" t="s">
        <v>88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C1"/>
    <mergeCell ref="A21:C21"/>
    <mergeCell ref="A22:C22"/>
    <mergeCell ref="A23:C23"/>
    <mergeCell ref="A24:C24"/>
    <mergeCell ref="A25:C2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8">
        <v>46286.0</v>
      </c>
      <c r="B1" s="29"/>
      <c r="C1" s="29"/>
      <c r="D1" s="29"/>
      <c r="E1" s="29"/>
      <c r="F1" s="29"/>
      <c r="G1" s="29"/>
      <c r="H1" s="29"/>
      <c r="I1" s="29"/>
    </row>
    <row r="2">
      <c r="A2" s="30" t="s">
        <v>196</v>
      </c>
      <c r="B2" s="29"/>
      <c r="C2" s="29"/>
      <c r="D2" s="29"/>
      <c r="E2" s="29"/>
      <c r="F2" s="29"/>
      <c r="G2" s="29"/>
      <c r="H2" s="29"/>
      <c r="I2" s="29"/>
    </row>
    <row r="3">
      <c r="A3" s="30" t="s">
        <v>50</v>
      </c>
      <c r="B3" s="30" t="s">
        <v>91</v>
      </c>
      <c r="C3" s="30" t="s">
        <v>95</v>
      </c>
      <c r="D3" s="30" t="s">
        <v>98</v>
      </c>
      <c r="E3" s="30" t="s">
        <v>104</v>
      </c>
      <c r="F3" s="29"/>
      <c r="G3" s="29"/>
      <c r="H3" s="29"/>
      <c r="I3" s="29"/>
    </row>
    <row r="4">
      <c r="A4" s="30" t="s">
        <v>108</v>
      </c>
      <c r="B4" s="30" t="s">
        <v>116</v>
      </c>
      <c r="C4" s="30" t="s">
        <v>121</v>
      </c>
      <c r="D4" s="30" t="s">
        <v>201</v>
      </c>
      <c r="E4" s="30" t="s">
        <v>203</v>
      </c>
      <c r="F4" s="29"/>
      <c r="G4" s="29"/>
      <c r="H4" s="29"/>
      <c r="I4" s="29"/>
    </row>
    <row r="5">
      <c r="A5" s="30" t="s">
        <v>205</v>
      </c>
      <c r="B5" s="29"/>
      <c r="C5" s="29"/>
      <c r="D5" s="29"/>
      <c r="E5" s="29"/>
      <c r="F5" s="29"/>
      <c r="G5" s="29"/>
      <c r="H5" s="29"/>
      <c r="I5" s="29"/>
    </row>
    <row r="6">
      <c r="A6" s="29"/>
      <c r="B6" s="29"/>
      <c r="C6" s="29"/>
      <c r="D6" s="29"/>
      <c r="E6" s="29"/>
      <c r="F6" s="29"/>
      <c r="G6" s="29"/>
      <c r="H6" s="29"/>
      <c r="I6" s="29"/>
    </row>
    <row r="7">
      <c r="A7" s="29"/>
      <c r="B7" s="29"/>
      <c r="C7" s="29"/>
      <c r="D7" s="29"/>
      <c r="E7" s="29"/>
      <c r="F7" s="29"/>
      <c r="G7" s="29"/>
      <c r="H7" s="29"/>
      <c r="I7" s="29"/>
    </row>
    <row r="8">
      <c r="A8" s="29"/>
      <c r="B8" s="29"/>
      <c r="C8" s="29"/>
      <c r="D8" s="29"/>
      <c r="E8" s="29"/>
      <c r="F8" s="29"/>
      <c r="G8" s="29"/>
      <c r="H8" s="29"/>
      <c r="I8" s="29"/>
    </row>
    <row r="9">
      <c r="A9" s="29"/>
      <c r="B9" s="29"/>
      <c r="C9" s="29"/>
      <c r="D9" s="29"/>
      <c r="E9" s="29"/>
      <c r="F9" s="29"/>
      <c r="G9" s="29"/>
      <c r="H9" s="29"/>
      <c r="I9" s="29"/>
    </row>
    <row r="10">
      <c r="A10" s="29"/>
      <c r="B10" s="29"/>
      <c r="C10" s="29"/>
      <c r="D10" s="29"/>
      <c r="E10" s="29"/>
      <c r="F10" s="29"/>
      <c r="G10" s="29"/>
      <c r="H10" s="29"/>
      <c r="I10" s="29"/>
    </row>
    <row r="11">
      <c r="A11" s="29"/>
      <c r="B11" s="29"/>
      <c r="C11" s="29"/>
      <c r="D11" s="29"/>
      <c r="E11" s="29"/>
      <c r="F11" s="29"/>
      <c r="G11" s="29"/>
      <c r="H11" s="29"/>
      <c r="I11" s="29"/>
    </row>
    <row r="12">
      <c r="A12" s="29"/>
      <c r="B12" s="29"/>
      <c r="C12" s="29"/>
      <c r="D12" s="29"/>
      <c r="E12" s="29"/>
      <c r="F12" s="29"/>
      <c r="G12" s="29"/>
      <c r="H12" s="29"/>
      <c r="I12" s="29"/>
    </row>
    <row r="13">
      <c r="A13" s="29"/>
      <c r="B13" s="29"/>
      <c r="C13" s="29"/>
      <c r="D13" s="29"/>
      <c r="E13" s="29"/>
      <c r="F13" s="29"/>
      <c r="G13" s="29"/>
      <c r="H13" s="29"/>
      <c r="I13" s="29"/>
    </row>
    <row r="14">
      <c r="A14" s="29"/>
      <c r="B14" s="29"/>
      <c r="C14" s="29"/>
      <c r="D14" s="29"/>
      <c r="E14" s="29"/>
      <c r="F14" s="29"/>
      <c r="G14" s="29"/>
      <c r="H14" s="29"/>
      <c r="I14" s="29"/>
    </row>
    <row r="15">
      <c r="A15" s="29"/>
      <c r="B15" s="29"/>
      <c r="C15" s="29"/>
      <c r="D15" s="29"/>
      <c r="E15" s="29"/>
      <c r="F15" s="29"/>
      <c r="G15" s="29"/>
      <c r="H15" s="29"/>
      <c r="I15" s="29"/>
    </row>
    <row r="16">
      <c r="A16" s="29"/>
      <c r="B16" s="29"/>
      <c r="C16" s="29"/>
      <c r="D16" s="29"/>
      <c r="E16" s="29"/>
      <c r="F16" s="29"/>
      <c r="G16" s="29"/>
      <c r="H16" s="29"/>
      <c r="I16" s="29"/>
    </row>
    <row r="17">
      <c r="A17" s="29"/>
      <c r="B17" s="29"/>
      <c r="C17" s="29"/>
      <c r="D17" s="29"/>
      <c r="E17" s="29"/>
      <c r="F17" s="29"/>
      <c r="G17" s="29"/>
      <c r="H17" s="29"/>
      <c r="I17" s="29"/>
    </row>
    <row r="18">
      <c r="A18" s="29"/>
      <c r="B18" s="29"/>
      <c r="C18" s="29"/>
      <c r="D18" s="29"/>
      <c r="E18" s="29"/>
      <c r="F18" s="29"/>
      <c r="G18" s="29"/>
      <c r="H18" s="29"/>
      <c r="I18" s="29"/>
    </row>
    <row r="19">
      <c r="A19" s="29"/>
      <c r="B19" s="29"/>
      <c r="C19" s="29"/>
      <c r="D19" s="29"/>
      <c r="E19" s="29"/>
      <c r="F19" s="29"/>
      <c r="G19" s="29"/>
      <c r="H19" s="29"/>
      <c r="I19" s="29"/>
    </row>
    <row r="20">
      <c r="A20" s="29"/>
      <c r="B20" s="29"/>
      <c r="C20" s="29"/>
      <c r="D20" s="29"/>
      <c r="E20" s="29"/>
      <c r="F20" s="29"/>
      <c r="G20" s="29"/>
      <c r="H20" s="29"/>
      <c r="I20" s="29"/>
    </row>
    <row r="21">
      <c r="A21" s="29"/>
      <c r="B21" s="29"/>
      <c r="C21" s="29"/>
      <c r="D21" s="29"/>
      <c r="E21" s="29"/>
      <c r="F21" s="29"/>
      <c r="G21" s="29"/>
      <c r="H21" s="29"/>
      <c r="I21" s="29"/>
    </row>
    <row r="22">
      <c r="A22" s="29"/>
      <c r="B22" s="29"/>
      <c r="C22" s="29"/>
      <c r="D22" s="29"/>
      <c r="E22" s="29"/>
      <c r="F22" s="29"/>
      <c r="G22" s="29"/>
      <c r="H22" s="29"/>
      <c r="I22" s="29"/>
    </row>
    <row r="23">
      <c r="A23" s="29"/>
      <c r="B23" s="29"/>
      <c r="C23" s="29"/>
      <c r="D23" s="29"/>
      <c r="E23" s="29"/>
      <c r="F23" s="29"/>
      <c r="G23" s="29"/>
      <c r="H23" s="29"/>
      <c r="I23" s="29"/>
    </row>
    <row r="24">
      <c r="A24" s="29"/>
      <c r="B24" s="29"/>
      <c r="C24" s="29"/>
      <c r="D24" s="29"/>
      <c r="E24" s="29"/>
      <c r="F24" s="29"/>
      <c r="G24" s="29"/>
      <c r="H24" s="29"/>
      <c r="I24" s="29"/>
    </row>
    <row r="25">
      <c r="A25" s="29"/>
      <c r="B25" s="29"/>
      <c r="C25" s="29"/>
      <c r="D25" s="29"/>
      <c r="E25" s="29"/>
      <c r="F25" s="29"/>
      <c r="G25" s="29"/>
      <c r="H25" s="29"/>
      <c r="I25" s="29"/>
    </row>
    <row r="26">
      <c r="A26" s="29"/>
      <c r="B26" s="29"/>
      <c r="C26" s="29"/>
      <c r="D26" s="29"/>
      <c r="E26" s="29"/>
      <c r="F26" s="29"/>
      <c r="G26" s="29"/>
      <c r="H26" s="29"/>
      <c r="I26" s="29"/>
    </row>
    <row r="27">
      <c r="A27" s="29"/>
      <c r="B27" s="29"/>
      <c r="C27" s="29"/>
      <c r="D27" s="29"/>
      <c r="E27" s="29"/>
      <c r="F27" s="29"/>
      <c r="G27" s="29"/>
      <c r="H27" s="29"/>
      <c r="I27" s="29"/>
    </row>
    <row r="28">
      <c r="A28" s="29"/>
      <c r="B28" s="29"/>
      <c r="C28" s="29"/>
      <c r="D28" s="29"/>
      <c r="E28" s="29"/>
      <c r="F28" s="29"/>
      <c r="G28" s="29"/>
      <c r="H28" s="29"/>
      <c r="I28" s="29"/>
    </row>
    <row r="29">
      <c r="A29" s="29"/>
      <c r="B29" s="29"/>
      <c r="C29" s="29"/>
      <c r="D29" s="29"/>
      <c r="E29" s="29"/>
      <c r="F29" s="29"/>
      <c r="G29" s="29"/>
      <c r="H29" s="29"/>
      <c r="I29" s="29"/>
    </row>
    <row r="30">
      <c r="A30" s="29"/>
      <c r="B30" s="29"/>
      <c r="C30" s="29"/>
      <c r="D30" s="29"/>
      <c r="E30" s="29"/>
      <c r="F30" s="29"/>
      <c r="G30" s="29"/>
      <c r="H30" s="29"/>
      <c r="I30" s="29"/>
    </row>
    <row r="31">
      <c r="A31" s="29"/>
      <c r="B31" s="29"/>
      <c r="C31" s="29"/>
      <c r="D31" s="29"/>
      <c r="E31" s="29"/>
      <c r="F31" s="29"/>
      <c r="G31" s="29"/>
      <c r="H31" s="29"/>
      <c r="I31" s="29"/>
    </row>
    <row r="32">
      <c r="A32" s="29"/>
      <c r="B32" s="29"/>
      <c r="C32" s="29"/>
      <c r="D32" s="29"/>
      <c r="E32" s="29"/>
      <c r="F32" s="29"/>
      <c r="G32" s="29"/>
      <c r="H32" s="29"/>
      <c r="I32" s="29"/>
    </row>
    <row r="33">
      <c r="A33" s="29"/>
      <c r="B33" s="29"/>
      <c r="C33" s="29"/>
      <c r="D33" s="29"/>
      <c r="E33" s="29"/>
      <c r="F33" s="29"/>
      <c r="G33" s="29"/>
      <c r="H33" s="29"/>
      <c r="I33" s="29"/>
    </row>
    <row r="34">
      <c r="A34" s="29"/>
      <c r="B34" s="29"/>
      <c r="C34" s="29"/>
      <c r="D34" s="29"/>
      <c r="E34" s="29"/>
      <c r="F34" s="29"/>
      <c r="G34" s="29"/>
      <c r="H34" s="29"/>
      <c r="I34" s="29"/>
    </row>
    <row r="35">
      <c r="A35" s="29"/>
      <c r="B35" s="29"/>
      <c r="C35" s="29"/>
      <c r="D35" s="29"/>
      <c r="E35" s="29"/>
      <c r="F35" s="29"/>
      <c r="G35" s="29"/>
      <c r="H35" s="29"/>
      <c r="I35" s="29"/>
    </row>
    <row r="36">
      <c r="A36" s="29"/>
      <c r="B36" s="29"/>
      <c r="C36" s="29"/>
      <c r="D36" s="29"/>
      <c r="E36" s="29"/>
      <c r="F36" s="29"/>
      <c r="G36" s="29"/>
      <c r="H36" s="29"/>
      <c r="I36" s="29"/>
    </row>
    <row r="37">
      <c r="A37" s="29"/>
      <c r="B37" s="29"/>
      <c r="C37" s="29"/>
      <c r="D37" s="29"/>
      <c r="E37" s="29"/>
      <c r="F37" s="29"/>
      <c r="G37" s="29"/>
      <c r="H37" s="29"/>
      <c r="I37" s="29"/>
    </row>
    <row r="38">
      <c r="A38" s="29"/>
      <c r="B38" s="29"/>
      <c r="C38" s="29"/>
      <c r="D38" s="29"/>
      <c r="E38" s="29"/>
      <c r="F38" s="29"/>
      <c r="G38" s="29"/>
      <c r="H38" s="29"/>
      <c r="I38" s="29"/>
    </row>
    <row r="39">
      <c r="A39" s="29"/>
      <c r="B39" s="29"/>
      <c r="C39" s="29"/>
      <c r="D39" s="29"/>
      <c r="E39" s="29"/>
      <c r="F39" s="29"/>
      <c r="G39" s="29"/>
      <c r="H39" s="29"/>
      <c r="I39" s="29"/>
    </row>
    <row r="40">
      <c r="A40" s="29"/>
      <c r="B40" s="29"/>
      <c r="C40" s="29"/>
      <c r="D40" s="29"/>
      <c r="E40" s="29"/>
      <c r="F40" s="29"/>
      <c r="G40" s="29"/>
      <c r="H40" s="29"/>
      <c r="I40" s="29"/>
    </row>
    <row r="41">
      <c r="A41" s="29"/>
      <c r="B41" s="29"/>
      <c r="C41" s="29"/>
      <c r="D41" s="29"/>
      <c r="E41" s="29"/>
      <c r="F41" s="29"/>
      <c r="G41" s="29"/>
      <c r="H41" s="29"/>
      <c r="I41" s="29"/>
    </row>
    <row r="42">
      <c r="A42" s="29"/>
      <c r="B42" s="29"/>
      <c r="C42" s="29"/>
      <c r="D42" s="29"/>
      <c r="E42" s="29"/>
      <c r="F42" s="29"/>
      <c r="G42" s="29"/>
      <c r="H42" s="29"/>
      <c r="I42" s="29"/>
    </row>
    <row r="43">
      <c r="A43" s="29"/>
      <c r="B43" s="29"/>
      <c r="C43" s="29"/>
      <c r="D43" s="29"/>
      <c r="E43" s="29"/>
      <c r="F43" s="29"/>
      <c r="G43" s="29"/>
      <c r="H43" s="29"/>
      <c r="I43" s="29"/>
    </row>
    <row r="44">
      <c r="A44" s="29"/>
      <c r="B44" s="29"/>
      <c r="C44" s="29"/>
      <c r="D44" s="29"/>
      <c r="E44" s="29"/>
      <c r="F44" s="29"/>
      <c r="G44" s="29"/>
      <c r="H44" s="29"/>
      <c r="I44" s="29"/>
    </row>
    <row r="45">
      <c r="A45" s="29"/>
      <c r="B45" s="29"/>
      <c r="C45" s="29"/>
      <c r="D45" s="29"/>
      <c r="E45" s="29"/>
      <c r="F45" s="29"/>
      <c r="G45" s="29"/>
      <c r="H45" s="29"/>
      <c r="I45" s="29"/>
    </row>
  </sheetData>
  <drawing r:id="rId1"/>
</worksheet>
</file>